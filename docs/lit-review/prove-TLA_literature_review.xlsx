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oster" sheetId="2" state="visible" r:id="rId4"/>
    <sheet name="Papers" sheetId="3" state="visible" r:id="rId5"/>
    <sheet name="Themes" sheetId="4" state="visible" r:id="rId6"/>
  </sheets>
  <definedNames>
    <definedName function="false" hidden="true" localSheetId="2" name="_xlnm._FilterDatabase" vbProcedure="false">Papers!$A$2:$X$127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<sst xmlns="http://schemas.openxmlformats.org/spreadsheetml/2006/main" count="1897" uniqueCount="1290">
  <si>
    <t xml:space="preserve">Literature review tracker - prove-TLA</t>
  </si>
  <si>
    <t xml:space="preserve">Two concerns, 125 papers, 10 readers</t>
  </si>
  <si>
    <t xml:space="preserve">What this is</t>
  </si>
  <si>
    <t xml:space="preserve">A reading tracker for the two open questions on the prove-TLA project:</t>
  </si>
  <si>
    <t xml:space="preserve">   (1) TRAINING - was the fine-tuning failure a method problem, a corpus problem, or a broken MoE adapter?</t>
  </si>
  <si>
    <t xml:space="preserve">   (2) CONTAMINATION - how do we prove a holdout is clean, and what claims does the contaminated 206-spec corpus permit?</t>
  </si>
  <si>
    <t xml:space="preserve">Every paper here was resolved against the live arXiv API or a publisher page. Titles, authors and</t>
  </si>
  <si>
    <t xml:space="preserve">dates are as returned by the source, not typed from memory. The 'Why it matters' and 'Question this</t>
  </si>
  <si>
    <t xml:space="preserve">should answer' columns are editorial - argue with them.</t>
  </si>
  <si>
    <t xml:space="preserve">How to use it</t>
  </si>
  <si>
    <t xml:space="preserve">1. Open the Roster tab and replace 'Reader 01' ... 'Reader 10' in column B with real names.</t>
  </si>
  <si>
    <t xml:space="preserve">   Every name in the Papers tab is a lookup on that column, so you only type each name once.</t>
  </si>
  <si>
    <t xml:space="preserve">2. Each reader owns one half of a theme; the two readers on a theme cross-check each other's notes.</t>
  </si>
  <si>
    <t xml:space="preserve">3. In the Papers tab, fill the yellow columns: Status, Key takeaway, Actionable here?, Cite in</t>
  </si>
  <si>
    <t xml:space="preserve">   write-up?, Notes link, Reviewer notes. Leave everything left of Status alone.</t>
  </si>
  <si>
    <t xml:space="preserve">4. Roster columns E-J recalculate from the Papers tab automatically.</t>
  </si>
  <si>
    <t xml:space="preserve">Priorities and deadlines</t>
  </si>
  <si>
    <t xml:space="preserve">P1  must read      44 papers   due 2026-08-13   the papers a claim in the write-up will rest on</t>
  </si>
  <si>
    <t xml:space="preserve">P2  should read    49 papers   due 2026-09-03   method detail, close comparators, standard references</t>
  </si>
  <si>
    <t xml:space="preserve">P3  skim           32 papers   due 2026-09-24   adjacent or speculative; read the abstract, flag if it matters</t>
  </si>
  <si>
    <t xml:space="preserve">Themes</t>
  </si>
  <si>
    <t xml:space="preserve">T1  TLA+, model checking and the toolchain  -  21 papers, readers R01 and R02</t>
  </si>
  <si>
    <t xml:space="preserve">      How TLA+ specs, TLC/SANY/Apalache/TLAPS, and LLM-driven spec work actually behave. Owns the question: what is the state of the art we must beat, and is any of it measured honestly?</t>
  </si>
  <si>
    <t xml:space="preserve">T2  LLMs x formal verification beyond TLA+  -  27 papers, readers R03 and R04</t>
  </si>
  <si>
    <t xml:space="preserve">      Dafny, Verus, Lean, F*, and autoformalization. Owns the question: what has worked in neighbouring formal languages that we have not tried, especially on spec faithfulness.</t>
  </si>
  <si>
    <t xml:space="preserve">T3  Training: SFT, LoRA/PEFT, MoE adaptation, diversity, corpora  -  29 papers, readers R05 and R06</t>
  </si>
  <si>
    <t xml:space="preserve">      Concern (1). Owns the question: was the fine-tuning failure a method problem, a corpus problem, or a broken adapter - and what would a correct MoE LoRA setup look like.</t>
  </si>
  <si>
    <t xml:space="preserve">T4  Contamination, leakage and decontaminated evaluation  -  28 papers, readers R07 and R08</t>
  </si>
  <si>
    <t xml:space="preserve">      Concern (2). Owns the question: how do we prove a holdout is clean, how contaminated is the 206-spec corpus, and what claims does that permit.</t>
  </si>
  <si>
    <t xml:space="preserve">T5  RL from verifiers, reward hacking and repair loops  -  20 papers, readers R09 and R10</t>
  </si>
  <si>
    <t xml:space="preserve">      The bridge between (1) and (2). Owns the question: when you train against a checker, when is the model learning the task and when is it learning the checker's blind spots.</t>
  </si>
  <si>
    <t xml:space="preserve">Definition of done for one paper</t>
  </si>
  <si>
    <t xml:space="preserve">Status = Done means: the Key takeaway cell says something a colleague could act on without</t>
  </si>
  <si>
    <t xml:space="preserve">reading the paper, and Actionable here? is answered Yes / No / Maybe with a reason in Reviewer notes.</t>
  </si>
  <si>
    <t xml:space="preserve">A one-line summary of the abstract is not done.</t>
  </si>
  <si>
    <t xml:space="preserve">Built 2026-07-30. Source metadata: arXiv API (export.arxiv.org), retrieved 2026-07-30.</t>
  </si>
  <si>
    <t xml:space="preserve">Roster - put real names in column B</t>
  </si>
  <si>
    <t xml:space="preserve">Column B is the only place a name is typed. Papers column E looks it up by slot, so renaming here renames every assignment. Columns E-J are formulas - do not overwrite.</t>
  </si>
  <si>
    <t xml:space="preserve">Slot</t>
  </si>
  <si>
    <t xml:space="preserve">Name (EDIT ME)</t>
  </si>
  <si>
    <t xml:space="preserve">Theme</t>
  </si>
  <si>
    <t xml:space="preserve">Theme name</t>
  </si>
  <si>
    <t xml:space="preserve">Papers</t>
  </si>
  <si>
    <t xml:space="preserve">P1</t>
  </si>
  <si>
    <t xml:space="preserve">P2</t>
  </si>
  <si>
    <t xml:space="preserve">P3</t>
  </si>
  <si>
    <t xml:space="preserve">Done</t>
  </si>
  <si>
    <t xml:space="preserve">% done</t>
  </si>
  <si>
    <t xml:space="preserve">R01</t>
  </si>
  <si>
    <t xml:space="preserve">Reader 01</t>
  </si>
  <si>
    <t xml:space="preserve">T1</t>
  </si>
  <si>
    <t xml:space="preserve">TLA+, model checking and the toolchain</t>
  </si>
  <si>
    <t xml:space="preserve">R02</t>
  </si>
  <si>
    <t xml:space="preserve">Reader 02</t>
  </si>
  <si>
    <t xml:space="preserve">R03</t>
  </si>
  <si>
    <t xml:space="preserve">Reader 03</t>
  </si>
  <si>
    <t xml:space="preserve">T2</t>
  </si>
  <si>
    <t xml:space="preserve">LLMs x formal verification beyond TLA+</t>
  </si>
  <si>
    <t xml:space="preserve">R04</t>
  </si>
  <si>
    <t xml:space="preserve">Reader 04</t>
  </si>
  <si>
    <t xml:space="preserve">R05</t>
  </si>
  <si>
    <t xml:space="preserve">Reader 05</t>
  </si>
  <si>
    <t xml:space="preserve">T3</t>
  </si>
  <si>
    <t xml:space="preserve">Training: SFT, LoRA/PEFT, MoE adaptation, diversity, corpora</t>
  </si>
  <si>
    <t xml:space="preserve">R06</t>
  </si>
  <si>
    <t xml:space="preserve">Reader 06</t>
  </si>
  <si>
    <t xml:space="preserve">R07</t>
  </si>
  <si>
    <t xml:space="preserve">Reader 07</t>
  </si>
  <si>
    <t xml:space="preserve">T4</t>
  </si>
  <si>
    <t xml:space="preserve">Contamination, leakage and decontaminated evaluation</t>
  </si>
  <si>
    <t xml:space="preserve">R08</t>
  </si>
  <si>
    <t xml:space="preserve">Reader 08</t>
  </si>
  <si>
    <t xml:space="preserve">R09</t>
  </si>
  <si>
    <t xml:space="preserve">Reader 09</t>
  </si>
  <si>
    <t xml:space="preserve">T5</t>
  </si>
  <si>
    <t xml:space="preserve">RL from verifiers, reward hacking and repair loops</t>
  </si>
  <si>
    <t xml:space="preserve">R10</t>
  </si>
  <si>
    <t xml:space="preserve">Reader 10</t>
  </si>
  <si>
    <t xml:space="preserve">TOTAL</t>
  </si>
  <si>
    <t xml:space="preserve">Papers - one row per paper. Columns Q onward are yours to fill; everything left of them is source metadata.</t>
  </si>
  <si>
    <t xml:space="preserve">ID</t>
  </si>
  <si>
    <t xml:space="preserve">Pri</t>
  </si>
  <si>
    <t xml:space="preserve">Reader slot</t>
  </si>
  <si>
    <t xml:space="preserve">Reader name</t>
  </si>
  <si>
    <t xml:space="preserve">Title</t>
  </si>
  <si>
    <t xml:space="preserve">First author</t>
  </si>
  <si>
    <t xml:space="preserve">All authors</t>
  </si>
  <si>
    <t xml:space="preserve">Year</t>
  </si>
  <si>
    <t xml:space="preserve">Published</t>
  </si>
  <si>
    <t xml:space="preserve">Venue / notes</t>
  </si>
  <si>
    <t xml:space="preserve">Source</t>
  </si>
  <si>
    <t xml:space="preserve">Link</t>
  </si>
  <si>
    <t xml:space="preserve">Concern</t>
  </si>
  <si>
    <t xml:space="preserve">Why it matters to prove-TLA</t>
  </si>
  <si>
    <t xml:space="preserve">Question this should answer for us</t>
  </si>
  <si>
    <t xml:space="preserve">Status</t>
  </si>
  <si>
    <t xml:space="preserve">Due</t>
  </si>
  <si>
    <t xml:space="preserve">Date completed</t>
  </si>
  <si>
    <t xml:space="preserve">Key takeaway (fill in)</t>
  </si>
  <si>
    <t xml:space="preserve">Actionable here?</t>
  </si>
  <si>
    <t xml:space="preserve">Cite in write-up?</t>
  </si>
  <si>
    <t xml:space="preserve">Notes link</t>
  </si>
  <si>
    <t xml:space="preserve">Reviewer notes</t>
  </si>
  <si>
    <t xml:space="preserve">P001</t>
  </si>
  <si>
    <t xml:space="preserve">Specification and Verification with the TLA+ Trifecta: TLC, Apalache, and TLAPS</t>
  </si>
  <si>
    <t xml:space="preserve">Igor Konnov</t>
  </si>
  <si>
    <t xml:space="preserve">Igor Konnov; Markus Kuppe; Stephan Merz</t>
  </si>
  <si>
    <t xml:space="preserve">2022-11-14</t>
  </si>
  <si>
    <t xml:space="preserve">arXiv preprint</t>
  </si>
  <si>
    <t xml:space="preserve">arXiv:2211.07216</t>
  </si>
  <si>
    <t xml:space="preserve">https://arxiv.org/abs/2211.07216</t>
  </si>
  <si>
    <t xml:space="preserve">Background</t>
  </si>
  <si>
    <t xml:space="preserve">TLC vs Apalache vs TLAPS side by side; grounds why the harness stages are sany,tlc,tlaps and what Apalache would add.</t>
  </si>
  <si>
    <t xml:space="preserve">Would Apalache catch spec defects our TLC-plus-mutation battery misses?</t>
  </si>
  <si>
    <t xml:space="preserve">Not started</t>
  </si>
  <si>
    <t xml:space="preserve">P002</t>
  </si>
  <si>
    <t xml:space="preserve">SysMoBench: Evaluating AI on Formally Modeling Complex Real-World Systems</t>
  </si>
  <si>
    <t xml:space="preserve">Qian Cheng</t>
  </si>
  <si>
    <t xml:space="preserve">Qian Cheng; Ruize Tang; Emilie Ma; Finn Hackett; Peiyang He; Yiming Su; Ivan Beschastnikh; Yu Huang; +2 more</t>
  </si>
  <si>
    <t xml:space="preserve">2025-09-27</t>
  </si>
  <si>
    <t xml:space="preserve">arXiv:2509.23130</t>
  </si>
  <si>
    <t xml:space="preserve">https://arxiv.org/abs/2509.23130</t>
  </si>
  <si>
    <t xml:space="preserve">Contamination</t>
  </si>
  <si>
    <t xml:space="preserve">Benchmark for formally modeling complex real-world systems - a second decontaminated comparator that is not FormaLLM-derived.</t>
  </si>
  <si>
    <t xml:space="preserve">Can SysMoBench score G2 without inheriting our contamination problem?</t>
  </si>
  <si>
    <t xml:space="preserve">P003</t>
  </si>
  <si>
    <t xml:space="preserve">Towards Language Model Guided TLA+ Proof Automation</t>
  </si>
  <si>
    <t xml:space="preserve">Yuhao Zhou</t>
  </si>
  <si>
    <t xml:space="preserve">Yuhao Zhou; Stavros Tripakis</t>
  </si>
  <si>
    <t xml:space="preserve">2025-12-10</t>
  </si>
  <si>
    <t xml:space="preserve">arXiv:2512.09758</t>
  </si>
  <si>
    <t xml:space="preserve">https://arxiv.org/abs/2512.09758</t>
  </si>
  <si>
    <t xml:space="preserve">Training</t>
  </si>
  <si>
    <t xml:space="preserve">Loop-only (no fine-tune) TLA+ proof automation on a 119-theorem bench; the honest 0/119 Stage-3 floor is measured against it.</t>
  </si>
  <si>
    <t xml:space="preserve">How much of their result is loop engineering versus base-model strength, and does their bench overlap our holdout?</t>
  </si>
  <si>
    <t xml:space="preserve">P004</t>
  </si>
  <si>
    <t xml:space="preserve">Can LLMs Write Correct TLA+ Specifications? Evaluating Natural-Language-to-TLA+ Generation</t>
  </si>
  <si>
    <t xml:space="preserve">Arslan Bisharat</t>
  </si>
  <si>
    <t xml:space="preserve">Arslan Bisharat; Brian Ortiz; Eric Spencer; Khushboo Bhadauria; TaiNing Wang; George K. Thiruvathukal; Konstantin Laufer; Mohammed Abuhamad</t>
  </si>
  <si>
    <t xml:space="preserve">2026-06-04</t>
  </si>
  <si>
    <t xml:space="preserve">12 pages, 11 tables. Accepted at the 21st International Conference on Software Technologies (ICSOFT 2026); Recommended as Best Paper Award Candidate</t>
  </si>
  <si>
    <t xml:space="preserve">arXiv:2606.05792</t>
  </si>
  <si>
    <t xml:space="preserve">https://arxiv.org/abs/2606.05792</t>
  </si>
  <si>
    <t xml:space="preserve">Both</t>
  </si>
  <si>
    <t xml:space="preserve">The origin of the 205/206-spec corpus prove-TLA scores G1 on, and the 8.6% semantic-correctness baseline everything is compared against.</t>
  </si>
  <si>
    <t xml:space="preserve">Which of their 30 evaluated models had the 205 specs in pretraining, and does their semantic-correctness check do anything Rule 9 does not?</t>
  </si>
  <si>
    <t xml:space="preserve">P005</t>
  </si>
  <si>
    <t xml:space="preserve">TLA-Prover: Verifiable TLA+ Specification Synthesis via Preference-Optimized Low-Rank Adaptation</t>
  </si>
  <si>
    <t xml:space="preserve">Eric Spencer</t>
  </si>
  <si>
    <t xml:space="preserve">Eric Spencer; Arslan Bisharat; Brian Ortiz; Khushboo Bhadauria; Mujtaba Nazari; TaiNing Wang; George K. Thiruvathukal; Konstantin Laufer; +1 more</t>
  </si>
  <si>
    <t xml:space="preserve">12 pages, 5 tables, 3 figures. In Proceedings at the 21st International Conference on Software Technologies (ICSOFT 2026)</t>
  </si>
  <si>
    <t xml:space="preserve">arXiv:2606.06133</t>
  </si>
  <si>
    <t xml:space="preserve">https://arxiv.org/abs/2606.06133</t>
  </si>
  <si>
    <t xml:space="preserve">The 30% Gold / 0-of-18-proved claim in PLAN G2, and the motivating case study: self-referential adapter, MoE experts untouched, training corpus overlapping the benchmark.</t>
  </si>
  <si>
    <t xml:space="preserve">Exactly which artifacts would we need from the authors to reproduce 30% Gold, and does the paper state its decontamination procedure at all?</t>
  </si>
  <si>
    <t xml:space="preserve">P006</t>
  </si>
  <si>
    <t xml:space="preserve">TLA+-Bench: An Execution-Grounded Benchmark and Dataset for Natural-Language to TLA+ Specification Generation</t>
  </si>
  <si>
    <t xml:space="preserve">Arslan Bisharat; Eric Spencer; Brian Ortiz; Khushboo Bhadauria; Mujtaba Nazari; Beatriz Santos; Anisa Ramos; TaiNing Wang; +3 more</t>
  </si>
  <si>
    <t xml:space="preserve">2026-07-26</t>
  </si>
  <si>
    <t xml:space="preserve">17 pages, appendix included. Introduces TLA+-Bench, an execution-grounded benchmark and dataset for natural-language to TLA$^{+}$ specification generation. Dataset, evaluation code</t>
  </si>
  <si>
    <t xml:space="preserve">arXiv:2607.23425</t>
  </si>
  <si>
    <t xml:space="preserve">https://arxiv.org/abs/2607.23425</t>
  </si>
  <si>
    <t xml:space="preserve">Execution-grounded NL-to-TLA+ benchmark graded by real SANY parse plus TLC check - the closest external instrument to our gen-eval, and a candidate for widening the 30-spec holdout.</t>
  </si>
  <si>
    <t xml:space="preserve">Is TLA+-Bench disjoint from the FormaLLM 206, and could it supply the 15 extra holdout specs the power analysis says we need?</t>
  </si>
  <si>
    <t xml:space="preserve">P007</t>
  </si>
  <si>
    <t xml:space="preserve">Specula: Scaling formal specifications for autonomous model checking of system code</t>
  </si>
  <si>
    <t xml:space="preserve">Qian Cheng; Saad Mohammad Rafid Pial; Ruize Tang; Yiming Su; Emilie Ma; Finn Hackett; Ivan Beschastnikh; Yu Huang; +1 more</t>
  </si>
  <si>
    <t xml:space="preserve">2026-07-28</t>
  </si>
  <si>
    <t xml:space="preserve">17 pages, 11 figures</t>
  </si>
  <si>
    <t xml:space="preserve">arXiv:2607.25333</t>
  </si>
  <si>
    <t xml:space="preserve">https://arxiv.org/abs/2607.25333</t>
  </si>
  <si>
    <t xml:space="preserve">Agentic TLA+ spec generation at industrial scale (48 projects, 249 bugs) using self-evolving loops aimed squarely at reward hacking - the loop-not-weights thesis, validated externally.</t>
  </si>
  <si>
    <t xml:space="preserve">What do their self-evolving loops check that our mutation/vacuity battery does not, and did they need any fine-tuning at all?</t>
  </si>
  <si>
    <t xml:space="preserve">P008</t>
  </si>
  <si>
    <t xml:space="preserve">Model Checking TLA+ Specifications</t>
  </si>
  <si>
    <t xml:space="preserve">Yuan Yu</t>
  </si>
  <si>
    <t xml:space="preserve">Yuan Yu; Panagiotis Manolios; Leslie Lamport</t>
  </si>
  <si>
    <t xml:space="preserve">1999-09-27</t>
  </si>
  <si>
    <t xml:space="preserve">CHARME 1999, LNCS 1703</t>
  </si>
  <si>
    <t xml:space="preserve">peer-reviewed</t>
  </si>
  <si>
    <t xml:space="preserve">https://link.springer.com/chapter/10.1007/3-540-48153-2_6</t>
  </si>
  <si>
    <t xml:space="preserve">The original TLC paper (Yu, Manolios, Lamport, CHARME 1999) - what TLC does and does not guarantee.</t>
  </si>
  <si>
    <t xml:space="preserve">What exactly does a TLC pass entitle us to claim, before the vacuity battery runs?</t>
  </si>
  <si>
    <t xml:space="preserve">P009</t>
  </si>
  <si>
    <t xml:space="preserve">Vacuity Detection in Temporal Model Checking</t>
  </si>
  <si>
    <t xml:space="preserve">Orna Kupferman</t>
  </si>
  <si>
    <t xml:space="preserve">Orna Kupferman; Moshe Y. Vardi</t>
  </si>
  <si>
    <t xml:space="preserve">2003-02-01</t>
  </si>
  <si>
    <t xml:space="preserve">STTT 4(2)</t>
  </si>
  <si>
    <t xml:space="preserve">https://link.springer.com/article/10.1007/s100090100062</t>
  </si>
  <si>
    <t xml:space="preserve">Kupferman and Vardi on vacuity detection - the theoretical basis for Rule 9 and the mutation battery.</t>
  </si>
  <si>
    <t xml:space="preserve">Is our mutation battery a sound approximation of vacuity detection, or just a heuristic?</t>
  </si>
  <si>
    <t xml:space="preserve">P010</t>
  </si>
  <si>
    <t xml:space="preserve">How Amazon Web Services Uses Formal Methods</t>
  </si>
  <si>
    <t xml:space="preserve">Chris Newcombe</t>
  </si>
  <si>
    <t xml:space="preserve">Chris Newcombe; Tim Rath; Fan Zhang; Bogdan Munteanu; Marc Brooker; Michael Deardeuff</t>
  </si>
  <si>
    <t xml:space="preserve">2015-04-01</t>
  </si>
  <si>
    <t xml:space="preserve">CACM 58(4)</t>
  </si>
  <si>
    <t xml:space="preserve">https://cacm.acm.org/research/how-amazon-web-services-uses-formal-methods/</t>
  </si>
  <si>
    <t xml:space="preserve">Newcombe et al.'s account of TLA+ in production at AWS - the standing argument for why any of this matters commercially.</t>
  </si>
  <si>
    <t xml:space="preserve">Which failure classes did TLA+ actually catch at AWS, and are those classes represented in our corpus?</t>
  </si>
  <si>
    <t xml:space="preserve">P011</t>
  </si>
  <si>
    <t xml:space="preserve">TLA+ Model Checking Made Symbolic</t>
  </si>
  <si>
    <t xml:space="preserve">Igor Konnov; Jure Kukovec; Thanh-Hai Tran</t>
  </si>
  <si>
    <t xml:space="preserve">2019-10-10</t>
  </si>
  <si>
    <t xml:space="preserve">OOPSLA 2019 / PACMPL 3</t>
  </si>
  <si>
    <t xml:space="preserve">https://dl.acm.org/doi/10.1145/3360549</t>
  </si>
  <si>
    <t xml:space="preserve">The Apalache symbolic model checker (OOPSLA 2019); the SMT-based alternative to TLC's explicit enumeration.</t>
  </si>
  <si>
    <t xml:space="preserve">Would symbolic checking change which of the 30 unclosed specs are reachable?</t>
  </si>
  <si>
    <t xml:space="preserve">P012</t>
  </si>
  <si>
    <t xml:space="preserve">Plain and Simple Inductive Invariant Inference for Distributed Protocols in TLA+</t>
  </si>
  <si>
    <t xml:space="preserve">William Schultz</t>
  </si>
  <si>
    <t xml:space="preserve">William Schultz; Ian Dardik; Stavros Tripakis</t>
  </si>
  <si>
    <t xml:space="preserve">2022-05-12</t>
  </si>
  <si>
    <t xml:space="preserve">arXiv:2205.06360</t>
  </si>
  <si>
    <t xml:space="preserve">https://arxiv.org/abs/2205.06360</t>
  </si>
  <si>
    <t xml:space="preserve">Non-LLM inductive invariant inference for TLA+ - the symbolic baseline any learned approach has to beat.</t>
  </si>
  <si>
    <t xml:space="preserve">On which specs does plain enumeration already win, and should those be excluded from a capability claim?</t>
  </si>
  <si>
    <t xml:space="preserve">P013</t>
  </si>
  <si>
    <t xml:space="preserve">Retrieval-Augmented TLAPS Proof Generation with Large Language Models</t>
  </si>
  <si>
    <t xml:space="preserve">2025-01-06</t>
  </si>
  <si>
    <t xml:space="preserve">arXiv:2501.03073</t>
  </si>
  <si>
    <t xml:space="preserve">https://arxiv.org/abs/2501.03073</t>
  </si>
  <si>
    <t xml:space="preserve">Retrieval instead of weights for TLAPS proofs - the cheapest Stage-3 lever prove-TLA has not tried.</t>
  </si>
  <si>
    <t xml:space="preserve">Would retrieval over our own 176 closed specs beat the 0/119 floor without any training?</t>
  </si>
  <si>
    <t xml:space="preserve">P014</t>
  </si>
  <si>
    <t xml:space="preserve">Towards Real-World Industrial-Scale Verification: LLM-Driven Theorem Proving on seL4</t>
  </si>
  <si>
    <t xml:space="preserve">Jianyu Zhang</t>
  </si>
  <si>
    <t xml:space="preserve">Jianyu Zhang; Fuyuan Zhang; Jiayi Lu; Jilin Hu; Xiaoyi Yin; Long Zhang; Feng Yang; Yongwang Zhao</t>
  </si>
  <si>
    <t xml:space="preserve">2026-02-09</t>
  </si>
  <si>
    <t xml:space="preserve">arXiv:2602.08384</t>
  </si>
  <si>
    <t xml:space="preserve">https://arxiv.org/abs/2602.08384</t>
  </si>
  <si>
    <t xml:space="preserve">LLM-driven theorem proving at seL4 scale - the strongest external evidence on whether proof generation works at industrial size.</t>
  </si>
  <si>
    <t xml:space="preserve">What proof-attempt success rate do they report, and how does it compare to our 0/20 unguided proof-module generation?</t>
  </si>
  <si>
    <t xml:space="preserve">P015</t>
  </si>
  <si>
    <t xml:space="preserve">ModelWisdom: An Integrated Toolkit for TLA+ Model Visualization, Digest and Repair</t>
  </si>
  <si>
    <t xml:space="preserve">Zhiyong Chen</t>
  </si>
  <si>
    <t xml:space="preserve">Zhiyong Chen; Jialun Cao; Chang Xu; Shing-Chi Cheung</t>
  </si>
  <si>
    <t xml:space="preserve">2026-02-12</t>
  </si>
  <si>
    <t xml:space="preserve">Accepted by FM 2026 Research Track (Tool)</t>
  </si>
  <si>
    <t xml:space="preserve">arXiv:2602.12058</t>
  </si>
  <si>
    <t xml:space="preserve">https://arxiv.org/abs/2602.12058</t>
  </si>
  <si>
    <t xml:space="preserve">LLM-assisted TLA+ counterexample digest and repair; bears on how we serialize TLC counterexamples into repair prompts.</t>
  </si>
  <si>
    <t xml:space="preserve">Does presenting a digested counterexample instead of raw TLC output change repair yield?</t>
  </si>
  <si>
    <t xml:space="preserve">P016</t>
  </si>
  <si>
    <t xml:space="preserve">CIll: CTI-Guided Invariant Generation via LLMs for Model Checking</t>
  </si>
  <si>
    <t xml:space="preserve">Yuheng Su</t>
  </si>
  <si>
    <t xml:space="preserve">Yuheng Su; Tianjun Bu; Qiusong Yang; Yiwei Ci; Enyuan Tian</t>
  </si>
  <si>
    <t xml:space="preserve">2026-02-21</t>
  </si>
  <si>
    <t xml:space="preserve">arXiv:2602.23389</t>
  </si>
  <si>
    <t xml:space="preserve">https://arxiv.org/abs/2602.23389</t>
  </si>
  <si>
    <t xml:space="preserve">LLM proposes invariants, checker refutes via counterexamples-to-induction; a verified-loop shape we could copy for the under-represented liveness cells.</t>
  </si>
  <si>
    <t xml:space="preserve">Can CTI-guided generation raise the liveness arm above 567 rows without diluting quality?</t>
  </si>
  <si>
    <t xml:space="preserve">P017</t>
  </si>
  <si>
    <t xml:space="preserve">COBALT-TLA: A Neuro-Symbolic Verification Loop for Cross-Chain Bridge Vulnerability Discovery</t>
  </si>
  <si>
    <t xml:space="preserve">Dominik Blain</t>
  </si>
  <si>
    <t xml:space="preserve">2026-04-14</t>
  </si>
  <si>
    <t xml:space="preserve">4 pages, 1 table. Submitted to FMBC 2026 (Formal Methods for Blockchains)</t>
  </si>
  <si>
    <t xml:space="preserve">arXiv:2604.12172</t>
  </si>
  <si>
    <t xml:space="preserve">https://arxiv.org/abs/2604.12172</t>
  </si>
  <si>
    <t xml:space="preserve">LLM-plus-TLC REPL that treats TLC as a semantic oracle - direct precedent for our repair loop, in a different domain.</t>
  </si>
  <si>
    <t xml:space="preserve">What is their stopping criterion, and how do they avoid the model learning to silence TLC rather than fix the spec?</t>
  </si>
  <si>
    <t xml:space="preserve">P018</t>
  </si>
  <si>
    <t xml:space="preserve">Specifying Systems: The TLA+ Language and Tools for Hardware and Software Engineers</t>
  </si>
  <si>
    <t xml:space="preserve">Leslie Lamport</t>
  </si>
  <si>
    <t xml:space="preserve">2002-06-01</t>
  </si>
  <si>
    <t xml:space="preserve">Addison-Wesley (book)</t>
  </si>
  <si>
    <t xml:space="preserve">https://lamport.azurewebsites.net/tla/book.html</t>
  </si>
  <si>
    <t xml:space="preserve">Lamport's Specifying Systems - the language reference; ground truth for what counts as a correct spec.</t>
  </si>
  <si>
    <t xml:space="preserve">Where does our notion of a correct spec diverge from Lamport's?</t>
  </si>
  <si>
    <t xml:space="preserve">P019</t>
  </si>
  <si>
    <t xml:space="preserve">Formal Verification of a Distributed Dynamic Reconfiguration Protocol</t>
  </si>
  <si>
    <t xml:space="preserve">2021-09-24</t>
  </si>
  <si>
    <t xml:space="preserve">First two authors contributed equally</t>
  </si>
  <si>
    <t xml:space="preserve">arXiv:2109.11987</t>
  </si>
  <si>
    <t xml:space="preserve">https://arxiv.org/abs/2109.11987</t>
  </si>
  <si>
    <t xml:space="preserve">A worked industrial TLA+ verification; useful as a realistic difficulty anchor for spec size and structure.</t>
  </si>
  <si>
    <t xml:space="preserve">How far are our corpus specs from real-world size, given the known small-spec skew?</t>
  </si>
  <si>
    <t xml:space="preserve">P020</t>
  </si>
  <si>
    <t xml:space="preserve">Interactive Safety Verification of Distributed Protocols by Inductive Proof Decomposition</t>
  </si>
  <si>
    <t xml:space="preserve">William Schultz; Edward Ashton; Heidi Howard; Stavros Tripakis</t>
  </si>
  <si>
    <t xml:space="preserve">2024-04-28</t>
  </si>
  <si>
    <t xml:space="preserve">arXiv:2404.18048</t>
  </si>
  <si>
    <t xml:space="preserve">https://arxiv.org/abs/2404.18048</t>
  </si>
  <si>
    <t xml:space="preserve">Inductive proof decomposition for distributed protocols; relevant to how Stage 3 should chunk obligations.</t>
  </si>
  <si>
    <t xml:space="preserve">Does decomposition make TLAPS obligations tractable enough for a model to attempt them one at a time?</t>
  </si>
  <si>
    <t xml:space="preserve">P021</t>
  </si>
  <si>
    <t xml:space="preserve">Federated Formal Verification: Cross-Backend Citation, Cross-Axis Convergence, and AI-Orchestrated Proof Dispatch for Production Systems</t>
  </si>
  <si>
    <t xml:space="preserve">Pierre Falda</t>
  </si>
  <si>
    <t xml:space="preserve">2026-06-01</t>
  </si>
  <si>
    <t xml:space="preserve">arXiv:2606.02019</t>
  </si>
  <si>
    <t xml:space="preserve">https://arxiv.org/abs/2606.02019</t>
  </si>
  <si>
    <t xml:space="preserve">Cross-backend proof dispatch across Coq/Lean/TLAPS; speculative but relevant to Stage-3 architecture.</t>
  </si>
  <si>
    <t xml:space="preserve">Is multi-backend dispatch worth anything before we can prove a single obligation?</t>
  </si>
  <si>
    <t xml:space="preserve">P022</t>
  </si>
  <si>
    <t xml:space="preserve">FormalAlign: Automated Alignment Evaluation for Autoformalization</t>
  </si>
  <si>
    <t xml:space="preserve">Jianqiao Lu</t>
  </si>
  <si>
    <t xml:space="preserve">Jianqiao Lu; Yingjia Wan; Yinya Huang; Jing Xiong; Zhengying Liu; Zhijiang Guo</t>
  </si>
  <si>
    <t xml:space="preserve">2024-10-14</t>
  </si>
  <si>
    <t xml:space="preserve">23 pages, 13 tables, 3 figures</t>
  </si>
  <si>
    <t xml:space="preserve">arXiv:2410.10135</t>
  </si>
  <si>
    <t xml:space="preserve">https://arxiv.org/abs/2410.10135</t>
  </si>
  <si>
    <t xml:space="preserve">FormalAlign automates the alignment check between informal statement and formal output - a candidate automated replacement for hand semantic audit.</t>
  </si>
  <si>
    <t xml:space="preserve">Could a FormalAlign-style scorer approximate Rule 9 well enough to run at corpus scale?</t>
  </si>
  <si>
    <t xml:space="preserve">P023</t>
  </si>
  <si>
    <t xml:space="preserve">VERINA: Benchmarking Verifiable Code Generation</t>
  </si>
  <si>
    <t xml:space="preserve">Zhe Ye</t>
  </si>
  <si>
    <t xml:space="preserve">Zhe Ye; Zhengxu Yan; Jingxuan He; Timothe Kasriel; Kaiyu Yang; Dawn Song</t>
  </si>
  <si>
    <t xml:space="preserve">2025-05-29</t>
  </si>
  <si>
    <t xml:space="preserve">arXiv:2505.23135</t>
  </si>
  <si>
    <t xml:space="preserve">https://arxiv.org/abs/2505.23135</t>
  </si>
  <si>
    <t xml:space="preserve">VERINA separates code, spec, and proof correctness; the cleanest published treatment of the spec-quality problem we hit with false passes.</t>
  </si>
  <si>
    <t xml:space="preserve">Does their spec-correctness metric detect the weakened-property failures our Rule 9 audit found?</t>
  </si>
  <si>
    <t xml:space="preserve">P024</t>
  </si>
  <si>
    <t xml:space="preserve">Autoformalization in the Era of Large Language Models: A Survey</t>
  </si>
  <si>
    <t xml:space="preserve">Ke Weng</t>
  </si>
  <si>
    <t xml:space="preserve">Ke Weng; Lun Du; Sirui Li; Wangyue Lu; Haozhe Sun; Hengyu Liu; Tiancheng Zhang</t>
  </si>
  <si>
    <t xml:space="preserve">arXiv:2505.23486</t>
  </si>
  <si>
    <t xml:space="preserve">https://arxiv.org/abs/2505.23486</t>
  </si>
  <si>
    <t xml:space="preserve">The autoformalization survey; the single best orientation document for the whole T2 theme.</t>
  </si>
  <si>
    <t xml:space="preserve">Where does NL-to-TLA+ sit in their taxonomy, and what is under-explored there?</t>
  </si>
  <si>
    <t xml:space="preserve">P025</t>
  </si>
  <si>
    <t xml:space="preserve">A benchmark for vericoding: formally verified program synthesis</t>
  </si>
  <si>
    <t xml:space="preserve">Sergiu Bursuc</t>
  </si>
  <si>
    <t xml:space="preserve">Sergiu Bursuc; Theodore Ehrenborg; Shaowei Lin; Lacramioara Astefanoaei; Ionel Emilian Chiosa; Jure Kukovec; Alok Singh; Oliver Butterley; +5 more</t>
  </si>
  <si>
    <t xml:space="preserve">2025-09-26</t>
  </si>
  <si>
    <t xml:space="preserve">25 pages, 1 figure; data available at https://github.com/Beneficial-AI-Foundation/vericoding-benchmark</t>
  </si>
  <si>
    <t xml:space="preserve">arXiv:2509.22908</t>
  </si>
  <si>
    <t xml:space="preserve">https://arxiv.org/abs/2509.22908</t>
  </si>
  <si>
    <t xml:space="preserve">Large multi-language benchmark for formally verified program synthesis; the scale comparison for our 206-spec corpus.</t>
  </si>
  <si>
    <t xml:space="preserve">What corpus size did they need before fine-tuning moved the number?</t>
  </si>
  <si>
    <t xml:space="preserve">P026</t>
  </si>
  <si>
    <t xml:space="preserve">miniF2F-Lean Revisited: Reviewing Limitations and Charting a Path Forward</t>
  </si>
  <si>
    <t xml:space="preserve">Azim Ospanov</t>
  </si>
  <si>
    <t xml:space="preserve">Azim Ospanov; Farzan Farnia; Roozbeh Yousefzadeh</t>
  </si>
  <si>
    <t xml:space="preserve">2025-11-05</t>
  </si>
  <si>
    <t xml:space="preserve">arXiv:2511.03108</t>
  </si>
  <si>
    <t xml:space="preserve">https://arxiv.org/abs/2511.03108</t>
  </si>
  <si>
    <t xml:space="preserve">A critical re-reading of miniF2F including memorization-sensitive perturbation probes - the template for stress-testing our own holdout.</t>
  </si>
  <si>
    <t xml:space="preserve">Can we build a perturbed variant of holdout_30 that separates recall from capability?</t>
  </si>
  <si>
    <t xml:space="preserve">P027</t>
  </si>
  <si>
    <t xml:space="preserve">SpecRL: Reinforcement Learning with Test-Based Completeness Rewards for Formal Specification Synthesis</t>
  </si>
  <si>
    <t xml:space="preserve">Zhechong Huang</t>
  </si>
  <si>
    <t xml:space="preserve">Zhechong Huang; Zhao Zhang; Zeyu Sun; Huifeng Sun; Yingfei Xiong</t>
  </si>
  <si>
    <t xml:space="preserve">2026-04-07</t>
  </si>
  <si>
    <t xml:space="preserve">arXiv:2604.05820</t>
  </si>
  <si>
    <t xml:space="preserve">https://arxiv.org/abs/2604.05820</t>
  </si>
  <si>
    <t xml:space="preserve">RL with test-based completeness rewards: their core point is that verification proves soundness but never that a spec is too weak - which is exactly the false-pass mode Rule 9 catches.</t>
  </si>
  <si>
    <t xml:space="preserve">Could spectest-style negative tests replace or strengthen our semantic audit, and would that scale better than hand audit?</t>
  </si>
  <si>
    <t xml:space="preserve">P028</t>
  </si>
  <si>
    <t xml:space="preserve">Verus-SpecGym: An Agentic Environment for Evaluating Specification Autoformalization</t>
  </si>
  <si>
    <t xml:space="preserve">Anmol Agarwal</t>
  </si>
  <si>
    <t xml:space="preserve">Anmol Agarwal; Natalie Neamtu; Pranjal Aggarwal; Seungone Kim; Jannis Limperg; Cedric Flamant; Kanna Shimizu; Bryan Parno; +1 more</t>
  </si>
  <si>
    <t xml:space="preserve">2026-05-26</t>
  </si>
  <si>
    <t xml:space="preserve">Preprint</t>
  </si>
  <si>
    <t xml:space="preserve">arXiv:2605.26457</t>
  </si>
  <si>
    <t xml:space="preserve">https://arxiv.org/abs/2605.26457</t>
  </si>
  <si>
    <t xml:space="preserve">Agentic environment for evaluating specification autoformalization in Verus - the closest methodological sibling to our gen-eval harness.</t>
  </si>
  <si>
    <t xml:space="preserve">What does their environment measure that our framing A/B split does not?</t>
  </si>
  <si>
    <t xml:space="preserve">P029</t>
  </si>
  <si>
    <t xml:space="preserve">Faithful Autoformalization of Natural Language Assertions</t>
  </si>
  <si>
    <t xml:space="preserve">Hongyi Liu</t>
  </si>
  <si>
    <t xml:space="preserve">Hongyi Liu; Madhusudan Parthasarathy; Adithya Murali</t>
  </si>
  <si>
    <t xml:space="preserve">2026-07-14</t>
  </si>
  <si>
    <t xml:space="preserve">arXiv:2607.13303</t>
  </si>
  <si>
    <t xml:space="preserve">https://arxiv.org/abs/2607.13303</t>
  </si>
  <si>
    <t xml:space="preserve">Faithful autoformalization of NL assertions - faithfulness is the property Rule 9 exists to enforce.</t>
  </si>
  <si>
    <t xml:space="preserve">How do they measure faithfulness automatically, and can we borrow it for the NL-to-invariant fidelity gate?</t>
  </si>
  <si>
    <t xml:space="preserve">P030</t>
  </si>
  <si>
    <t xml:space="preserve">LeanDojo: Theorem Proving with Retrieval-Augmented Language Models</t>
  </si>
  <si>
    <t xml:space="preserve">Kaiyu Yang</t>
  </si>
  <si>
    <t xml:space="preserve">Kaiyu Yang; Aidan M. Swope; Alex Gu; Rahul Chalamala; Peiyang Song; Shixing Yu; Saad Godil; Ryan Prenger; +1 more</t>
  </si>
  <si>
    <t xml:space="preserve">2023-06-27</t>
  </si>
  <si>
    <t xml:space="preserve">Accepted to NeurIPS 2023 (Datasets and Benchmarks Track) as an oral presentation. Data, code, and models available at https://leandojo.org/</t>
  </si>
  <si>
    <t xml:space="preserve">arXiv:2306.15626</t>
  </si>
  <si>
    <t xml:space="preserve">https://arxiv.org/abs/2306.15626</t>
  </si>
  <si>
    <t xml:space="preserve">LeanDojo: retrieval-augmented theorem proving plus the benchmark and its premise-selection setup.</t>
  </si>
  <si>
    <t xml:space="preserve">Is premise retrieval the missing piece for Stage 3?</t>
  </si>
  <si>
    <t xml:space="preserve">P031</t>
  </si>
  <si>
    <t xml:space="preserve">Lean-STaR: Learning to Interleave Thinking and Proving</t>
  </si>
  <si>
    <t xml:space="preserve">Haohan Lin</t>
  </si>
  <si>
    <t xml:space="preserve">Haohan Lin; Zhiqing Sun; Sean Welleck; Yiming Yang</t>
  </si>
  <si>
    <t xml:space="preserve">2024-07-14</t>
  </si>
  <si>
    <t xml:space="preserve">arXiv:2407.10040</t>
  </si>
  <si>
    <t xml:space="preserve">https://arxiv.org/abs/2407.10040</t>
  </si>
  <si>
    <t xml:space="preserve">Lean-STaR interleaves informal thinking with formal proof steps; a training-data shape we have not tried.</t>
  </si>
  <si>
    <t xml:space="preserve">Would interleaved reasoning traces help where raw proof-module generation scored 0/20?</t>
  </si>
  <si>
    <t xml:space="preserve">P032</t>
  </si>
  <si>
    <t xml:space="preserve">The Fusion of Large Language Models and Formal Methods for Trustworthy AI Agents: A Roadmap</t>
  </si>
  <si>
    <t xml:space="preserve">Yedi Zhang</t>
  </si>
  <si>
    <t xml:space="preserve">Yedi Zhang; Yufan Cai; Xinyue Zuo; Xiaokun Luan; Kailong Wang; Zhe Hou; Yifan Zhang; Zhiyuan Wei; +4 more</t>
  </si>
  <si>
    <t xml:space="preserve">2024-12-09</t>
  </si>
  <si>
    <t xml:space="preserve">24 pages, 4 figures</t>
  </si>
  <si>
    <t xml:space="preserve">arXiv:2412.06512</t>
  </si>
  <si>
    <t xml:space="preserve">https://arxiv.org/abs/2412.06512</t>
  </si>
  <si>
    <t xml:space="preserve">Roadmap paper on fusing LLMs with formal methods; good framing and citation source for a related-work section.</t>
  </si>
  <si>
    <t xml:space="preserve">Which roadmap items has the field actually delivered by mid-2026?</t>
  </si>
  <si>
    <t xml:space="preserve">P033</t>
  </si>
  <si>
    <t xml:space="preserve">Dafny as Verification-Aware Intermediate Language for Code Generation</t>
  </si>
  <si>
    <t xml:space="preserve">Yue Chen Li</t>
  </si>
  <si>
    <t xml:space="preserve">Yue Chen Li; Stefan Zetzsche; Siva Somayyajula</t>
  </si>
  <si>
    <t xml:space="preserve">2025-01-10</t>
  </si>
  <si>
    <t xml:space="preserve">arXiv:2501.06283</t>
  </si>
  <si>
    <t xml:space="preserve">https://arxiv.org/abs/2501.06283</t>
  </si>
  <si>
    <t xml:space="preserve">Dafny as a verification-aware intermediate language; the argument for generating into a checkable IL rather than the target directly.</t>
  </si>
  <si>
    <t xml:space="preserve">Is there a TLA+ analogue - an easier intermediate the model could target before full spec syntax?</t>
  </si>
  <si>
    <t xml:space="preserve">P034</t>
  </si>
  <si>
    <t xml:space="preserve">What's in a Proof? Analyzing Expert Proof-Writing Processes in F* and Verus</t>
  </si>
  <si>
    <t xml:space="preserve">Rijul Jain</t>
  </si>
  <si>
    <t xml:space="preserve">Rijul Jain; Shraddha Barke; Gabriel Ebner; Md Rakib Hossain Misu; Shan Lu; Sarah Fakhoury</t>
  </si>
  <si>
    <t xml:space="preserve">2025-08-01</t>
  </si>
  <si>
    <t xml:space="preserve">arXiv:2508.02733</t>
  </si>
  <si>
    <t xml:space="preserve">https://arxiv.org/abs/2508.02733</t>
  </si>
  <si>
    <t xml:space="preserve">What expert proof-writers actually do in F* and Verus - the human process our training traces are supposed to imitate.</t>
  </si>
  <si>
    <t xml:space="preserve">Do our repair traces resemble expert process, or only expert output?</t>
  </si>
  <si>
    <t xml:space="preserve">P035</t>
  </si>
  <si>
    <t xml:space="preserve">StepFun-Formalizer: Unlocking the Autoformalization Potential of LLMs through Knowledge-Reasoning Fusion</t>
  </si>
  <si>
    <t xml:space="preserve">Yutong Wu</t>
  </si>
  <si>
    <t xml:space="preserve">Yutong Wu; Di Huang; Ruosi Wan; Yue Peng; Shijie Shang; Chenrui Cao; Lei Qi; Rui Zhang; +3 more</t>
  </si>
  <si>
    <t xml:space="preserve">2025-08-06</t>
  </si>
  <si>
    <t xml:space="preserve">AAAI 2026 Oral. Extended version with full appendix, 25 pages, 17 figures</t>
  </si>
  <si>
    <t xml:space="preserve">arXiv:2508.04440</t>
  </si>
  <si>
    <t xml:space="preserve">https://arxiv.org/abs/2508.04440</t>
  </si>
  <si>
    <t xml:space="preserve">StepFun-Formalizer: knowledge-reasoning fusion for autoformalization; a concrete recipe for training an autoformalizer.</t>
  </si>
  <si>
    <t xml:space="preserve">What is their data recipe, and how much of it is synthetic?</t>
  </si>
  <si>
    <t xml:space="preserve">P036</t>
  </si>
  <si>
    <t xml:space="preserve">Towards Repository-Level Program Verification with Large Language Models</t>
  </si>
  <si>
    <t xml:space="preserve">Si Cheng Zhong</t>
  </si>
  <si>
    <t xml:space="preserve">Si Cheng Zhong; Xujie Si</t>
  </si>
  <si>
    <t xml:space="preserve">2025-08-31</t>
  </si>
  <si>
    <t xml:space="preserve">Accepted to LMPL 2025</t>
  </si>
  <si>
    <t xml:space="preserve">arXiv:2509.25197</t>
  </si>
  <si>
    <t xml:space="preserve">https://arxiv.org/abs/2509.25197</t>
  </si>
  <si>
    <t xml:space="preserve">Repository-level verification with LLMs; relevant because our specs are single-module while real usage is not.</t>
  </si>
  <si>
    <t xml:space="preserve">Does multi-module context help or hurt, given our EXTENDS-dependency resolution problems?</t>
  </si>
  <si>
    <t xml:space="preserve">P037</t>
  </si>
  <si>
    <t xml:space="preserve">ATLAS: Automated Toolkit for Large-Scale Verified Code Synthesis</t>
  </si>
  <si>
    <t xml:space="preserve">Mantas Baksys</t>
  </si>
  <si>
    <t xml:space="preserve">Mantas Baksys; Stefan Zetzsche; Olivier Bouissou; Remi Delmas; Soonho Kong; Sean B. Holden</t>
  </si>
  <si>
    <t xml:space="preserve">2025-12-11</t>
  </si>
  <si>
    <t xml:space="preserve">arXiv:2512.10173</t>
  </si>
  <si>
    <t xml:space="preserve">https://arxiv.org/abs/2512.10173</t>
  </si>
  <si>
    <t xml:space="preserve">Automated toolkit for large-scale verified code synthesis; a pipeline comparison for our W4 corpus generation.</t>
  </si>
  <si>
    <t xml:space="preserve">What is their accepted-sample yield per generation, versus our mutation-gate survival rate?</t>
  </si>
  <si>
    <t xml:space="preserve">P038</t>
  </si>
  <si>
    <t xml:space="preserve">Compiler-Guided Inference-Time Adaptation: Improving GPT-5 Programming Performance in Idris</t>
  </si>
  <si>
    <t xml:space="preserve">Minda Li</t>
  </si>
  <si>
    <t xml:space="preserve">Minda Li; Bhaskar Krishnamachari</t>
  </si>
  <si>
    <t xml:space="preserve">arXiv:2602.11481</t>
  </si>
  <si>
    <t xml:space="preserve">https://arxiv.org/abs/2602.11481</t>
  </si>
  <si>
    <t xml:space="preserve">Compiler-guided inference-time adaptation in Idris - inference-time compute against a checker, no weight updates.</t>
  </si>
  <si>
    <t xml:space="preserve">Is inference-time adaptation a cheaper substitute for the fine-tuning we shelved?</t>
  </si>
  <si>
    <t xml:space="preserve">P039</t>
  </si>
  <si>
    <t xml:space="preserve">VeriSoftBench: Repository-Scale Formal Verification Benchmarks for Lean</t>
  </si>
  <si>
    <t xml:space="preserve">Yutong Xin</t>
  </si>
  <si>
    <t xml:space="preserve">Yutong Xin; Qiaochu Chen; Greg Durrett; Işil Dillig</t>
  </si>
  <si>
    <t xml:space="preserve">2026-02-20</t>
  </si>
  <si>
    <t xml:space="preserve">arXiv:2602.18307</t>
  </si>
  <si>
    <t xml:space="preserve">https://arxiv.org/abs/2602.18307</t>
  </si>
  <si>
    <t xml:space="preserve">Repository-scale Lean verification benchmark; a model for building a holdout that resists memorization by being too large to have leaked wholesale.</t>
  </si>
  <si>
    <t xml:space="preserve">Does repository scale actually reduce contamination risk, or just hide it?</t>
  </si>
  <si>
    <t xml:space="preserve">P040</t>
  </si>
  <si>
    <t xml:space="preserve">Automating Formal Verification with Reinforcement Learning and Recursive Inference</t>
  </si>
  <si>
    <t xml:space="preserve">Max Tan</t>
  </si>
  <si>
    <t xml:space="preserve">2026-05-29</t>
  </si>
  <si>
    <t xml:space="preserve">Master's thesis, 140 pages, 16 figures, 17 tables</t>
  </si>
  <si>
    <t xml:space="preserve">arXiv:2605.30914</t>
  </si>
  <si>
    <t xml:space="preserve">https://arxiv.org/abs/2605.30914</t>
  </si>
  <si>
    <t xml:space="preserve">RL plus recursive inference for automating formal verification; a method comparison for our shelved fine-tuning question.</t>
  </si>
  <si>
    <t xml:space="preserve">Does recursive inference beat rejection-sampling fine-tune on the same budget?</t>
  </si>
  <si>
    <t xml:space="preserve">P041</t>
  </si>
  <si>
    <t xml:space="preserve">Theory-Level Autoformalization: From Isolated Statements to Unified Formal Knowledge Bases</t>
  </si>
  <si>
    <t xml:space="preserve">Marcus J. Min</t>
  </si>
  <si>
    <t xml:space="preserve">Marcus J. Min; Mike He; Zhaoyu Li; Zixuan Yi; Sharad Malik; Aarti Gupta; Xujie Si; Osbert Bastani</t>
  </si>
  <si>
    <t xml:space="preserve">ICML 2026 Spotlight</t>
  </si>
  <si>
    <t xml:space="preserve">arXiv:2607.13292</t>
  </si>
  <si>
    <t xml:space="preserve">https://arxiv.org/abs/2607.13292</t>
  </si>
  <si>
    <t xml:space="preserve">Theory-level rather than statement-level autoformalization; matches whole-spec generation better than single-assertion work.</t>
  </si>
  <si>
    <t xml:space="preserve">Does theory-level framing explain our framing A vs framing B gap?</t>
  </si>
  <si>
    <t xml:space="preserve">P042</t>
  </si>
  <si>
    <t xml:space="preserve">PDE-Controller: LLMs for Autoformalization and Reasoning of PDEs</t>
  </si>
  <si>
    <t xml:space="preserve">Mauricio Soroco</t>
  </si>
  <si>
    <t xml:space="preserve">Mauricio Soroco; Jialin Song; Mengzhou Xia; Kye Emond; Weiran Sun; Wuyang Chen</t>
  </si>
  <si>
    <t xml:space="preserve">2025-02-03</t>
  </si>
  <si>
    <t xml:space="preserve">arXiv:2502.00963</t>
  </si>
  <si>
    <t xml:space="preserve">https://arxiv.org/abs/2502.00963</t>
  </si>
  <si>
    <t xml:space="preserve">Autoformalization and reasoning for PDEs; a distant domain, included for method contrast.</t>
  </si>
  <si>
    <t xml:space="preserve">Anything transferable in how they constrain the output space?</t>
  </si>
  <si>
    <t xml:space="preserve">P043</t>
  </si>
  <si>
    <t xml:space="preserve">CombiBench: Benchmarking LLM Capability for Combinatorial Mathematics</t>
  </si>
  <si>
    <t xml:space="preserve">Junqi Liu</t>
  </si>
  <si>
    <t xml:space="preserve">Junqi Liu; Xiaohan Lin; Jonas Bayer; Yael Dillies; Weijie Jiang; Xiaodan Liang; Roman Soletskyi; Haiming Wang; +7 more</t>
  </si>
  <si>
    <t xml:space="preserve">2025-05-06</t>
  </si>
  <si>
    <t xml:space="preserve">arXiv:2505.03171</t>
  </si>
  <si>
    <t xml:space="preserve">https://arxiv.org/abs/2505.03171</t>
  </si>
  <si>
    <t xml:space="preserve">CombiBench; useful mainly as another example of benchmark construction under contamination pressure.</t>
  </si>
  <si>
    <t xml:space="preserve">What did they do to keep the benchmark fresh?</t>
  </si>
  <si>
    <t xml:space="preserve">P044</t>
  </si>
  <si>
    <t xml:space="preserve">KELPS: A Framework for Verified Multi-Language Autoformalization via Semantic-Syntactic Alignment</t>
  </si>
  <si>
    <t xml:space="preserve">Jiyao Zhang</t>
  </si>
  <si>
    <t xml:space="preserve">Jiyao Zhang; Chengli Zhong; Hui Xu; Qige Li; Yi Zhou</t>
  </si>
  <si>
    <t xml:space="preserve">2025-07-11</t>
  </si>
  <si>
    <t xml:space="preserve">Accepted by the ICML 2025 AI4MATH Workshop. 22 pages, 16 figures, 2 tables</t>
  </si>
  <si>
    <t xml:space="preserve">arXiv:2507.08665</t>
  </si>
  <si>
    <t xml:space="preserve">https://arxiv.org/abs/2507.08665</t>
  </si>
  <si>
    <t xml:space="preserve">Verified multi-language autoformalization via semantic-syntactic alignment.</t>
  </si>
  <si>
    <t xml:space="preserve">Is semantic-syntactic alignment measurable on TLA+ without a proof assistant?</t>
  </si>
  <si>
    <t xml:space="preserve">P045</t>
  </si>
  <si>
    <t xml:space="preserve">Lean Meets Theoretical Computer Science: Scalable Synthesis of Theorem Proving Challenges in Formal-Informal Pairs</t>
  </si>
  <si>
    <t xml:space="preserve">Terry Jingchen Zhang</t>
  </si>
  <si>
    <t xml:space="preserve">Terry Jingchen Zhang; Wenyuan Jiang; Rongchuan Liu; Yisong Wang; Junran Yang; Ning Wang; Nicole Ni; Yinya Huang; +1 more</t>
  </si>
  <si>
    <t xml:space="preserve">2025-08-21</t>
  </si>
  <si>
    <t xml:space="preserve">Accepted to AI4MATH@ICML2025</t>
  </si>
  <si>
    <t xml:space="preserve">arXiv:2508.15878</t>
  </si>
  <si>
    <t xml:space="preserve">https://arxiv.org/abs/2508.15878</t>
  </si>
  <si>
    <t xml:space="preserve">Scalable synthesis of theorem-proving challenges in formal-informal pairs; a corpus-construction method.</t>
  </si>
  <si>
    <t xml:space="preserve">Could the same synthesis trick generate TLA+ formal-informal pairs at W4 scale?</t>
  </si>
  <si>
    <t xml:space="preserve">P046</t>
  </si>
  <si>
    <t xml:space="preserve">Do LLMs Really Struggle at NL-FOL Translation? Revealing their Strengths via a Novel Benchmarking Strategy</t>
  </si>
  <si>
    <t xml:space="preserve">Andrea Brunello</t>
  </si>
  <si>
    <t xml:space="preserve">Andrea Brunello; Luca Geatti; Michele Mignani; Angelo Montanari; Nicola Saccomanno</t>
  </si>
  <si>
    <t xml:space="preserve">2025-11-14</t>
  </si>
  <si>
    <t xml:space="preserve">Full version of the paper accepted for publication at The 40th Annual AAAI Conference on Artificial Intelligence (AAAI 2026)</t>
  </si>
  <si>
    <t xml:space="preserve">arXiv:2511.11816</t>
  </si>
  <si>
    <t xml:space="preserve">https://arxiv.org/abs/2511.11816</t>
  </si>
  <si>
    <t xml:space="preserve">Re-examines whether LLMs really struggle at NL-to-FOL, arguing benchmark design hid their strengths.</t>
  </si>
  <si>
    <t xml:space="preserve">Is any part of our low semantic-correctness number a benchmarking artifact?</t>
  </si>
  <si>
    <t xml:space="preserve">P047</t>
  </si>
  <si>
    <t xml:space="preserve">Pythagoras-Prover: Advancing Efficient Formal Proving via Augmented Lean Formalisation</t>
  </si>
  <si>
    <t xml:space="preserve">Joshua Ong Jun Leang</t>
  </si>
  <si>
    <t xml:space="preserve">Joshua Ong Jun Leang; Zheng Zhao; Mihaela Cătălina Stoian; Qiyuan Xu; Haonan Li; Wenda Li; Shay B. Cohen; Eleonora Giunchiglia</t>
  </si>
  <si>
    <t xml:space="preserve">2026-06-10</t>
  </si>
  <si>
    <t xml:space="preserve">Pythagoras-Prover: Technical Report</t>
  </si>
  <si>
    <t xml:space="preserve">arXiv:2606.12594</t>
  </si>
  <si>
    <t xml:space="preserve">https://arxiv.org/abs/2606.12594</t>
  </si>
  <si>
    <t xml:space="preserve">Efficiency-focused formal proving via augmented Lean formalisation.</t>
  </si>
  <si>
    <t xml:space="preserve">Any transferable efficiency tricks for TLAPS obligation attempts?</t>
  </si>
  <si>
    <t xml:space="preserve">P048</t>
  </si>
  <si>
    <t xml:space="preserve">Diffusion-Proof: Recipe for Formal Theorem Proving Beyond Auto-Regressive Generation</t>
  </si>
  <si>
    <t xml:space="preserve">Ruida Wang</t>
  </si>
  <si>
    <t xml:space="preserve">Ruida Wang; Rui Pan; Pengcheng Wang; Shizhe Diao; Tong Zhang</t>
  </si>
  <si>
    <t xml:space="preserve">2026-06-17</t>
  </si>
  <si>
    <t xml:space="preserve">arXiv:2606.19315</t>
  </si>
  <si>
    <t xml:space="preserve">https://arxiv.org/abs/2606.19315</t>
  </si>
  <si>
    <t xml:space="preserve">Non-autoregressive (diffusion) formal theorem proving - an architectural alternative worth knowing about.</t>
  </si>
  <si>
    <t xml:space="preserve">Is autoregressive decoding a real constraint for structured spec output?</t>
  </si>
  <si>
    <t xml:space="preserve">P049</t>
  </si>
  <si>
    <t xml:space="preserve">LoRA: Low-Rank Adaptation of Large Language Models</t>
  </si>
  <si>
    <t xml:space="preserve">Edward J. Hu</t>
  </si>
  <si>
    <t xml:space="preserve">Edward J. Hu; Yelong Shen; Phillip Wallis; Zeyuan Allen-Zhu; Yuanzhi Li; Shean Wang; Lu Wang; Weizhu Chen</t>
  </si>
  <si>
    <t xml:space="preserve">2021-06-17</t>
  </si>
  <si>
    <t xml:space="preserve">Draft V2 includes better baselines, experiments on GLUE, and more on adapter latency</t>
  </si>
  <si>
    <t xml:space="preserve">arXiv:2106.09685</t>
  </si>
  <si>
    <t xml:space="preserve">https://arxiv.org/abs/2106.09685</t>
  </si>
  <si>
    <t xml:space="preserve">The LoRA paper. Required to reason about the resolver bug that froze a dense model's FFN at 0.0195% trainable.</t>
  </si>
  <si>
    <t xml:space="preserve">Which modules does LoRA actually need to touch for the adaptation to be real rather than noise?</t>
  </si>
  <si>
    <t xml:space="preserve">P050</t>
  </si>
  <si>
    <t xml:space="preserve">LoRA Learns Less and Forgets Less</t>
  </si>
  <si>
    <t xml:space="preserve">Dan Biderman</t>
  </si>
  <si>
    <t xml:space="preserve">Dan Biderman; Jacob Portes; Jose Javier Gonzalez Ortiz; Mansheej Paul; Philip Greengard; Connor Jennings; Daniel King; Sam Havens; +4 more</t>
  </si>
  <si>
    <t xml:space="preserve">2024-05-15</t>
  </si>
  <si>
    <t xml:space="preserve">Final version with new experiments and analyses, as accepted to Transactions on Machine Learning Research, August 2024 (Featured Certification). https://openreview.net/forum?id=alo</t>
  </si>
  <si>
    <t xml:space="preserve">arXiv:2405.09673</t>
  </si>
  <si>
    <t xml:space="preserve">https://arxiv.org/abs/2405.09673</t>
  </si>
  <si>
    <t xml:space="preserve">LoRA learns less and forgets less - the trade-off that decides whether LoRA was ever the right tool for a corpus this small.</t>
  </si>
  <si>
    <t xml:space="preserve">Given our corpus size, is LoRA's reduced learning capacity a feature or the reason Gate 2 failed?</t>
  </si>
  <si>
    <t xml:space="preserve">P051</t>
  </si>
  <si>
    <t xml:space="preserve">The Choice of Divergence: A Neglected Key to Mitigating Diversity Collapse in Reinforcement Learning with Verifiable Reward</t>
  </si>
  <si>
    <t xml:space="preserve">Long Li</t>
  </si>
  <si>
    <t xml:space="preserve">Long Li; Zhijian Zhou; Jiaran Hao; Jason Klein Liu; Yanting Miao; Wei Pang; Xiaoyu Tan; Wei Chu; +4 more</t>
  </si>
  <si>
    <t xml:space="preserve">2025-09-09</t>
  </si>
  <si>
    <t xml:space="preserve">27 pages, 6 figures</t>
  </si>
  <si>
    <t xml:space="preserve">arXiv:2509.07430</t>
  </si>
  <si>
    <t xml:space="preserve">https://arxiv.org/abs/2509.07430</t>
  </si>
  <si>
    <t xml:space="preserve">The divergence choice as the lever against diversity collapse under verifiable reward - our exact failure mode, since pass@32 depends on retained diversity.</t>
  </si>
  <si>
    <t xml:space="preserve">Would a mass-covering divergence have prevented the pass@k collapse we reproduced in W2.6?</t>
  </si>
  <si>
    <t xml:space="preserve">P052</t>
  </si>
  <si>
    <t xml:space="preserve">Demystifying Synthetic Data in LLM Pre-training: A Systematic Study of Scaling Laws, Benefits, and Pitfalls</t>
  </si>
  <si>
    <t xml:space="preserve">Feiyang Kang</t>
  </si>
  <si>
    <t xml:space="preserve">Feiyang Kang; Newsha Ardalani; Michael Kuchnik; Youssef Emad; Mostafa Elhoushi; Shubhabrata Sengupta; Shang-Wen Li; Ramya Raghavendra; +2 more</t>
  </si>
  <si>
    <t xml:space="preserve">2025-10-02</t>
  </si>
  <si>
    <t xml:space="preserve">Published as a Main Conference paper at EMNLP 2025</t>
  </si>
  <si>
    <t xml:space="preserve">arXiv:2510.01631</t>
  </si>
  <si>
    <t xml:space="preserve">https://arxiv.org/abs/2510.01631</t>
  </si>
  <si>
    <t xml:space="preserve">Large systematic study of synthetic data in pretraining, including the roughly 30% mixing ratio finding - our W4 corpus is entirely synthetic.</t>
  </si>
  <si>
    <t xml:space="preserve">What natural-to-synthetic ratio should a TLA+ corpus target, and are we past the collapse threshold?</t>
  </si>
  <si>
    <t xml:space="preserve">P053</t>
  </si>
  <si>
    <t xml:space="preserve">DR-LoRA: Dynamic Rank LoRA for Fine-Tuning Mixture-of-Experts Models</t>
  </si>
  <si>
    <t xml:space="preserve">Guanzhi Deng</t>
  </si>
  <si>
    <t xml:space="preserve">Guanzhi Deng; Bo Li; Ronghao Chen; Xiujin Liu; Zhuo Han; Huacan Wang; Lijie Wen; Linqi Song</t>
  </si>
  <si>
    <t xml:space="preserve">2026-01-08</t>
  </si>
  <si>
    <t xml:space="preserve">arXiv:2601.04823</t>
  </si>
  <si>
    <t xml:space="preserve">https://arxiv.org/abs/2601.04823</t>
  </si>
  <si>
    <t xml:space="preserve">Dynamic-rank LoRA for MoE models; makes the case that uniform ranks across experts waste capacity on irrelevant experts.</t>
  </si>
  <si>
    <t xml:space="preserve">Would expert-saliency-based rank allocation have changed the v2_sft2 outcome?</t>
  </si>
  <si>
    <t xml:space="preserve">P054</t>
  </si>
  <si>
    <t xml:space="preserve">Where does output diversity collapse in post-training?</t>
  </si>
  <si>
    <t xml:space="preserve">Constantinos Karouzos</t>
  </si>
  <si>
    <t xml:space="preserve">Constantinos Karouzos; Xingwei Tan; Nikolaos Aletras</t>
  </si>
  <si>
    <t xml:space="preserve">2026-04-17</t>
  </si>
  <si>
    <t xml:space="preserve">arXiv:2604.16027</t>
  </si>
  <si>
    <t xml:space="preserve">https://arxiv.org/abs/2604.16027</t>
  </si>
  <si>
    <t xml:space="preserve">Localizes where in post-training output diversity actually collapses.</t>
  </si>
  <si>
    <t xml:space="preserve">At which stage did our v2 SFT lose the diversity that pass@32 needs?</t>
  </si>
  <si>
    <t xml:space="preserve">P055</t>
  </si>
  <si>
    <t xml:space="preserve">MoE^2-LoRA: When MoE Models Meet MoE-style Low-Rank Adaptation</t>
  </si>
  <si>
    <t xml:space="preserve">Qingyu Yang</t>
  </si>
  <si>
    <t xml:space="preserve">Qingyu Yang; Haonan He; Minglei Li; Jingqi Ye; Tao Chen; Lei Bai; Peng Ye</t>
  </si>
  <si>
    <t xml:space="preserve">2026-07-24</t>
  </si>
  <si>
    <t xml:space="preserve">Preprint, under review</t>
  </si>
  <si>
    <t xml:space="preserve">arXiv:2607.21978</t>
  </si>
  <si>
    <t xml:space="preserve">https://arxiv.org/abs/2607.21978</t>
  </si>
  <si>
    <t xml:space="preserve">MoE-style LoRA for MoE models - the most current statement of how to adapt a mixture-of-experts base.</t>
  </si>
  <si>
    <t xml:space="preserve">What is the correct target-module set for gpt-oss-120b, stated by someone who studied it?</t>
  </si>
  <si>
    <t xml:space="preserve">P056</t>
  </si>
  <si>
    <t xml:space="preserve">Training language models to follow instructions with human feedback</t>
  </si>
  <si>
    <t xml:space="preserve">Long Ouyang</t>
  </si>
  <si>
    <t xml:space="preserve">Long Ouyang; Jeff Wu; Xu Jiang; Diogo Almeida; Carroll L. Wainwright; Pamela Mishkin; Chong Zhang; Sandhini Agarwal; +12 more</t>
  </si>
  <si>
    <t xml:space="preserve">2022-03-04</t>
  </si>
  <si>
    <t xml:space="preserve">arXiv:2203.02155</t>
  </si>
  <si>
    <t xml:space="preserve">https://arxiv.org/abs/2203.02155</t>
  </si>
  <si>
    <t xml:space="preserve">InstructGPT - the reference point for what SFT plus preference optimization is supposed to buy.</t>
  </si>
  <si>
    <t xml:space="preserve">How much of the standard recipe are we actually running?</t>
  </si>
  <si>
    <t xml:space="preserve">P057</t>
  </si>
  <si>
    <t xml:space="preserve">MixLoRA: Enhancing Large Language Models Fine-Tuning with LoRA-based Mixture of Experts</t>
  </si>
  <si>
    <t xml:space="preserve">Dengchun Li</t>
  </si>
  <si>
    <t xml:space="preserve">Dengchun Li; Yingzi Ma; Naizheng Wang; Zhengmao Ye; Zhiyuan Cheng; Yinghao Tang; Yan Zhang; Lei Duan; +3 more</t>
  </si>
  <si>
    <t xml:space="preserve">2024-04-22</t>
  </si>
  <si>
    <t xml:space="preserve">18 pages, 5 figures</t>
  </si>
  <si>
    <t xml:space="preserve">arXiv:2404.15159</t>
  </si>
  <si>
    <t xml:space="preserve">https://arxiv.org/abs/2404.15159</t>
  </si>
  <si>
    <t xml:space="preserve">MixLoRA inserts LoRA experts in the FFN block - directly relevant to adapting an MoE base like gpt-oss-120b.</t>
  </si>
  <si>
    <t xml:space="preserve">How should adapters be placed on a real MoE, versus what our resolver did?</t>
  </si>
  <si>
    <t xml:space="preserve">P058</t>
  </si>
  <si>
    <t xml:space="preserve">CraftRTL: High-quality Synthetic Data Generation for Verilog Code Models with Correct-by-Construction Non-Textual Representations and Targeted Code Repair</t>
  </si>
  <si>
    <t xml:space="preserve">Mingjie Liu</t>
  </si>
  <si>
    <t xml:space="preserve">Mingjie Liu; Yun-Da Tsai; Wenfei Zhou; Haoxing Ren</t>
  </si>
  <si>
    <t xml:space="preserve">2024-09-19</t>
  </si>
  <si>
    <t xml:space="preserve">arXiv:2409.12993</t>
  </si>
  <si>
    <t xml:space="preserve">https://arxiv.org/abs/2409.12993</t>
  </si>
  <si>
    <t xml:space="preserve">CraftRTL: correct-by-construction synthetic data plus targeted repair for Verilog - the closest analogue to our correct-by-construction TLA+ generation.</t>
  </si>
  <si>
    <t xml:space="preserve">Is correct-by-construction generation the reason their numbers moved and ours did not?</t>
  </si>
  <si>
    <t xml:space="preserve">P059</t>
  </si>
  <si>
    <t xml:space="preserve">Synthetic Data Generation Using Large Language Models: Advances in Text and Code</t>
  </si>
  <si>
    <t xml:space="preserve">Mihai Nadas</t>
  </si>
  <si>
    <t xml:space="preserve">Mihai Nadas; Laura Diosan; Andreea Tomescu</t>
  </si>
  <si>
    <t xml:space="preserve">2025-03-18</t>
  </si>
  <si>
    <t xml:space="preserve">24 pages, 6 tables, 1 figure, 64 references</t>
  </si>
  <si>
    <t xml:space="preserve">arXiv:2503.14023</t>
  </si>
  <si>
    <t xml:space="preserve">https://arxiv.org/abs/2503.14023</t>
  </si>
  <si>
    <t xml:space="preserve">Survey of LLM-based synthetic data generation for text and code.</t>
  </si>
  <si>
    <t xml:space="preserve">Which generation strategies preserve diversity, and which are known to collapse?</t>
  </si>
  <si>
    <t xml:space="preserve">P060</t>
  </si>
  <si>
    <t xml:space="preserve">Increasing LLM Coding Capabilities through Diverse Synthetic Coding Tasks</t>
  </si>
  <si>
    <t xml:space="preserve">Amal Abed</t>
  </si>
  <si>
    <t xml:space="preserve">Amal Abed; Ivan Lukic; Jörg K. H. Franke; Frank Hutter</t>
  </si>
  <si>
    <t xml:space="preserve">2025-10-27</t>
  </si>
  <si>
    <t xml:space="preserve">Presented at the 39th Conference on Neural Information Processing Systems (NeurIPS 2025) Workshop: The 4th Deep Learning for Code Workshop (DL4C)</t>
  </si>
  <si>
    <t xml:space="preserve">arXiv:2510.23208</t>
  </si>
  <si>
    <t xml:space="preserve">https://arxiv.org/abs/2510.23208</t>
  </si>
  <si>
    <t xml:space="preserve">Diverse synthetic coding tasks as the lever on coding capability - the diversity-of-tasks argument behind W4's cross-family lattice.</t>
  </si>
  <si>
    <t xml:space="preserve">Does task diversity or sample count explain W4's +59% per-sample yield?</t>
  </si>
  <si>
    <t xml:space="preserve">P061</t>
  </si>
  <si>
    <t xml:space="preserve">Mitigating Forgetting in Low Rank Adaptation</t>
  </si>
  <si>
    <t xml:space="preserve">Joanna Sliwa</t>
  </si>
  <si>
    <t xml:space="preserve">Joanna Sliwa; Frank Schneider; Philipp Hennig; Jose Miguel Hernandez-Lobato</t>
  </si>
  <si>
    <t xml:space="preserve">2025-12-19</t>
  </si>
  <si>
    <t xml:space="preserve">arXiv:2512.17720</t>
  </si>
  <si>
    <t xml:space="preserve">https://arxiv.org/abs/2512.17720</t>
  </si>
  <si>
    <t xml:space="preserve">Concrete mitigations for forgetting under low-rank adaptation.</t>
  </si>
  <si>
    <t xml:space="preserve">Would any of these have preserved base capability while adding TLA+ skill?</t>
  </si>
  <si>
    <t xml:space="preserve">P062</t>
  </si>
  <si>
    <t xml:space="preserve">SED-SFT: Selectively Encouraging Diversity in Supervised Fine-Tuning</t>
  </si>
  <si>
    <t xml:space="preserve">Yijie Chen</t>
  </si>
  <si>
    <t xml:space="preserve">Yijie Chen; Yijin Liu; Fandong Meng</t>
  </si>
  <si>
    <t xml:space="preserve">2026-02-07</t>
  </si>
  <si>
    <t xml:space="preserve">The code is publicly available at https://github.com/pppa2019/SED-SFT</t>
  </si>
  <si>
    <t xml:space="preserve">arXiv:2602.07464</t>
  </si>
  <si>
    <t xml:space="preserve">https://arxiv.org/abs/2602.07464</t>
  </si>
  <si>
    <t xml:space="preserve">SED-SFT selectively encourages diversity during supervised fine-tuning - a drop-in change to our SFT objective.</t>
  </si>
  <si>
    <t xml:space="preserve">Is this implementable in the training repo without a full RL stack?</t>
  </si>
  <si>
    <t xml:space="preserve">P063</t>
  </si>
  <si>
    <t xml:space="preserve">Subspace Geometry Governs Catastrophic Forgetting in Low-Rank Adaptation</t>
  </si>
  <si>
    <t xml:space="preserve">Brady Steele</t>
  </si>
  <si>
    <t xml:space="preserve">2026-02-10</t>
  </si>
  <si>
    <t xml:space="preserve">15 pages, 5 figures, 6 tables</t>
  </si>
  <si>
    <t xml:space="preserve">arXiv:2603.02224</t>
  </si>
  <si>
    <t xml:space="preserve">https://arxiv.org/abs/2603.02224</t>
  </si>
  <si>
    <t xml:space="preserve">Argues subspace geometry, not LoRA itself, governs forgetting - hyperparameters can induce it.</t>
  </si>
  <si>
    <t xml:space="preserve">Did our hyperparameters put us in the forgetting regime?</t>
  </si>
  <si>
    <t xml:space="preserve">P064</t>
  </si>
  <si>
    <t xml:space="preserve">Adaptive and Fine-grained Module-wise Expert Pruning for Efficient LoRA-MoE Fine-Tuning</t>
  </si>
  <si>
    <t xml:space="preserve">Weihang Li</t>
  </si>
  <si>
    <t xml:space="preserve">Weihang Li; Jianchun Liu; Hongli Xu</t>
  </si>
  <si>
    <t xml:space="preserve">2026-04-29</t>
  </si>
  <si>
    <t xml:space="preserve">arXiv:2604.26340</t>
  </si>
  <si>
    <t xml:space="preserve">https://arxiv.org/abs/2604.26340</t>
  </si>
  <si>
    <t xml:space="preserve">Module-wise expert pruning for LoRA-MoE; attention and MLP modules need different expert capacity.</t>
  </si>
  <si>
    <t xml:space="preserve">Is our per-module adapter configuration defensible, or accidental?</t>
  </si>
  <si>
    <t xml:space="preserve">P065</t>
  </si>
  <si>
    <t xml:space="preserve">Uniform-Correct Policy Optimization: Breaking RLVR's Indifference to Diversity</t>
  </si>
  <si>
    <t xml:space="preserve">Anamika Lochab</t>
  </si>
  <si>
    <t xml:space="preserve">Anamika Lochab; Bolian Li; Ruqi Zhang</t>
  </si>
  <si>
    <t xml:space="preserve">2026-05-01</t>
  </si>
  <si>
    <t xml:space="preserve">arXiv:2605.00365</t>
  </si>
  <si>
    <t xml:space="preserve">https://arxiv.org/abs/2605.00365</t>
  </si>
  <si>
    <t xml:space="preserve">Uniform-correct policy optimization targets RLVR's indifference to diversity.</t>
  </si>
  <si>
    <t xml:space="preserve">Is diversity-aware RL worth it before the corpus question is settled?</t>
  </si>
  <si>
    <t xml:space="preserve">P066</t>
  </si>
  <si>
    <t xml:space="preserve">LP-SFT: Local-Preserving Supervised Fine-Tuning via Multimodal Entropy Structure</t>
  </si>
  <si>
    <t xml:space="preserve">Yueyang Wang</t>
  </si>
  <si>
    <t xml:space="preserve">Yueyang Wang; Baolong Bi; Shuo Lu; Jingyuan Zhang; Jiajun Shi</t>
  </si>
  <si>
    <t xml:space="preserve">2026-07-06</t>
  </si>
  <si>
    <t xml:space="preserve">20 pages, 3 figures. Code is available at https://github.com/Wakaka161/LP-SFT</t>
  </si>
  <si>
    <t xml:space="preserve">arXiv:2607.04733</t>
  </si>
  <si>
    <t xml:space="preserve">https://arxiv.org/abs/2607.04733</t>
  </si>
  <si>
    <t xml:space="preserve">LP-SFT claims the best pass@1 / pass@k balance without collapsing sampling diversity.</t>
  </si>
  <si>
    <t xml:space="preserve">Would LP-SFT let us keep pass@32 while raising per-sample yield?</t>
  </si>
  <si>
    <t xml:space="preserve">P067</t>
  </si>
  <si>
    <t xml:space="preserve">Bayesian Parameter-Efficient Fine-Tuning for Overcoming Catastrophic Forgetting</t>
  </si>
  <si>
    <t xml:space="preserve">Haolin Chen</t>
  </si>
  <si>
    <t xml:space="preserve">Haolin Chen; Philip N. Garner</t>
  </si>
  <si>
    <t xml:space="preserve">2024-02-19</t>
  </si>
  <si>
    <t xml:space="preserve">arXiv:2402.12220</t>
  </si>
  <si>
    <t xml:space="preserve">https://arxiv.org/abs/2402.12220</t>
  </si>
  <si>
    <t xml:space="preserve">Bayesian PEFT against catastrophic forgetting.</t>
  </si>
  <si>
    <t xml:space="preserve">Is the added machinery justified at our scale?</t>
  </si>
  <si>
    <t xml:space="preserve">P068</t>
  </si>
  <si>
    <t xml:space="preserve">Understanding Catastrophic Forgetting In LoRA via Mean-Field Attention Dynamics</t>
  </si>
  <si>
    <t xml:space="preserve">Hugo Koubbi</t>
  </si>
  <si>
    <t xml:space="preserve">Hugo Koubbi; Louis Hernandez; Matthieu Boussard</t>
  </si>
  <si>
    <t xml:space="preserve">2024-02-23</t>
  </si>
  <si>
    <t xml:space="preserve">New version accepted at ICML 2026, with new results and without previous results</t>
  </si>
  <si>
    <t xml:space="preserve">arXiv:2402.15415</t>
  </si>
  <si>
    <t xml:space="preserve">https://arxiv.org/abs/2402.15415</t>
  </si>
  <si>
    <t xml:space="preserve">Mean-field analysis of why LoRA forgets.</t>
  </si>
  <si>
    <t xml:space="preserve">Does the theory predict our observed degradation?</t>
  </si>
  <si>
    <t xml:space="preserve">P069</t>
  </si>
  <si>
    <t xml:space="preserve">Towards a Theoretical Understanding of Synthetic Data in LLM Post-Training: A Reverse-Bottleneck Perspective</t>
  </si>
  <si>
    <t xml:space="preserve">Zeyu Gan</t>
  </si>
  <si>
    <t xml:space="preserve">Zeyu Gan; Yong Liu</t>
  </si>
  <si>
    <t xml:space="preserve">2024-10-02</t>
  </si>
  <si>
    <t xml:space="preserve">arXiv:2410.01720</t>
  </si>
  <si>
    <t xml:space="preserve">https://arxiv.org/abs/2410.01720</t>
  </si>
  <si>
    <t xml:space="preserve">Reverse-bottleneck theory of synthetic data in post-training.</t>
  </si>
  <si>
    <t xml:space="preserve">Does the theory bound what a single-teacher corpus like ours can teach?</t>
  </si>
  <si>
    <t xml:space="preserve">P070</t>
  </si>
  <si>
    <t xml:space="preserve">GMoE: Empowering LLMs Fine-Tuning via MoE Graph Collaboration</t>
  </si>
  <si>
    <t xml:space="preserve">Ting Bai</t>
  </si>
  <si>
    <t xml:space="preserve">Ting Bai; Yue Yu; Le Huang; Zenan Xu; Chuan Shi</t>
  </si>
  <si>
    <t xml:space="preserve">2024-12-18</t>
  </si>
  <si>
    <t xml:space="preserve">9 pages, 25 figures</t>
  </si>
  <si>
    <t xml:space="preserve">arXiv:2412.16216</t>
  </si>
  <si>
    <t xml:space="preserve">https://arxiv.org/abs/2412.16216</t>
  </si>
  <si>
    <t xml:space="preserve">MoE graph collaboration for LLM fine-tuning.</t>
  </si>
  <si>
    <t xml:space="preserve">Anything here that survives at 120B scale?</t>
  </si>
  <si>
    <t xml:space="preserve">P071</t>
  </si>
  <si>
    <t xml:space="preserve">A Stronger Mixture of Low-Rank Experts for Fine-Tuning Foundation Models</t>
  </si>
  <si>
    <t xml:space="preserve">Mengyang Sun</t>
  </si>
  <si>
    <t xml:space="preserve">Mengyang Sun; Yihao Wang; Tao Feng; Dan Zhang; Yifan Zhu; Jie Tang</t>
  </si>
  <si>
    <t xml:space="preserve">2025-02-20</t>
  </si>
  <si>
    <t xml:space="preserve">arXiv:2502.15828</t>
  </si>
  <si>
    <t xml:space="preserve">https://arxiv.org/abs/2502.15828</t>
  </si>
  <si>
    <t xml:space="preserve">A stronger mixture of low-rank experts for foundation-model fine-tuning.</t>
  </si>
  <si>
    <t xml:space="preserve">Does MoLE beat plain LoRA at our data scale?</t>
  </si>
  <si>
    <t xml:space="preserve">P072</t>
  </si>
  <si>
    <t xml:space="preserve">TT-LoRA MoE: Unifying Parameter-Efficient Fine-Tuning and Sparse Mixture-of-Experts</t>
  </si>
  <si>
    <t xml:space="preserve">Pradip Kunwar</t>
  </si>
  <si>
    <t xml:space="preserve">Pradip Kunwar; Minh N. Vu; Maanak Gupta; Mahmoud Abdelsalam; Manish Bhattarai</t>
  </si>
  <si>
    <t xml:space="preserve">2025-04-29</t>
  </si>
  <si>
    <t xml:space="preserve">arXiv:2504.21190</t>
  </si>
  <si>
    <t xml:space="preserve">https://arxiv.org/abs/2504.21190</t>
  </si>
  <si>
    <t xml:space="preserve">Tensor-train LoRA MoE; an efficiency variant.</t>
  </si>
  <si>
    <t xml:space="preserve">Any memory savings that would let us train more than one arm per allocation?</t>
  </si>
  <si>
    <t xml:space="preserve">P073</t>
  </si>
  <si>
    <t xml:space="preserve">LoRA-Mixer: Coordinate Modular LoRA Experts Through Serial Attention Routing</t>
  </si>
  <si>
    <t xml:space="preserve">Wenbing Li</t>
  </si>
  <si>
    <t xml:space="preserve">Wenbing Li; Zikai Song; Hang Zhou; Yunyao Zhang; Junqing Yu; Wei Yang</t>
  </si>
  <si>
    <t xml:space="preserve">2025-06-17</t>
  </si>
  <si>
    <t xml:space="preserve">arXiv:2507.00029</t>
  </si>
  <si>
    <t xml:space="preserve">https://arxiv.org/abs/2507.00029</t>
  </si>
  <si>
    <t xml:space="preserve">LoRA-Mixer routes modular LoRA experts through serial attention.</t>
  </si>
  <si>
    <t xml:space="preserve">Is routing worth the complexity for a single-task corpus?</t>
  </si>
  <si>
    <t xml:space="preserve">P074</t>
  </si>
  <si>
    <t xml:space="preserve">OPLoRA: Orthogonal Projection LoRA Prevents Catastrophic Forgetting during Parameter-Efficient Fine-Tuning</t>
  </si>
  <si>
    <t xml:space="preserve">Yifeng Xiong</t>
  </si>
  <si>
    <t xml:space="preserve">Yifeng Xiong; Xiaohui Xie</t>
  </si>
  <si>
    <t xml:space="preserve">2025-10-14</t>
  </si>
  <si>
    <t xml:space="preserve">arXiv:2510.13003</t>
  </si>
  <si>
    <t xml:space="preserve">https://arxiv.org/abs/2510.13003</t>
  </si>
  <si>
    <t xml:space="preserve">Orthogonal-projection LoRA to prevent catastrophic forgetting.</t>
  </si>
  <si>
    <t xml:space="preserve">Is orthogonal projection cheap enough to add to the training repo?</t>
  </si>
  <si>
    <t xml:space="preserve">P075</t>
  </si>
  <si>
    <t xml:space="preserve">Beyond the Dirac Delta: Mitigating Diversity Collapse in Reinforcement Fine-Tuning for Versatile Image Generation</t>
  </si>
  <si>
    <t xml:space="preserve">Jinmei Liu</t>
  </si>
  <si>
    <t xml:space="preserve">Jinmei Liu; Haoru Li; Zhenhong Sun; Chaofeng Chen; Yatao Bian; Bo Wang; Daoyi Dong; Chunlin Chen; +1 more</t>
  </si>
  <si>
    <t xml:space="preserve">2026-01-18</t>
  </si>
  <si>
    <t xml:space="preserve">arXiv:2601.12401</t>
  </si>
  <si>
    <t xml:space="preserve">https://arxiv.org/abs/2601.12401</t>
  </si>
  <si>
    <t xml:space="preserve">Diversity collapse in reinforcement fine-tuning, studied in image generation.</t>
  </si>
  <si>
    <t xml:space="preserve">Does the diagnosis transfer across modality?</t>
  </si>
  <si>
    <t xml:space="preserve">P076</t>
  </si>
  <si>
    <t xml:space="preserve">Expert Pyramid Tuning: Efficient Parameter Fine-Tuning for Expertise-Driven Task Allocation</t>
  </si>
  <si>
    <t xml:space="preserve">Jia-Chen Zhang</t>
  </si>
  <si>
    <t xml:space="preserve">Jia-Chen Zhang; Zhen-Wei Yan; Yu-Jie Xiong; Chun-Ming Xia</t>
  </si>
  <si>
    <t xml:space="preserve">2026-03-13</t>
  </si>
  <si>
    <t xml:space="preserve">arXiv:2603.12577</t>
  </si>
  <si>
    <t xml:space="preserve">https://arxiv.org/abs/2603.12577</t>
  </si>
  <si>
    <t xml:space="preserve">Expert pyramid tuning for expertise-driven task allocation.</t>
  </si>
  <si>
    <t xml:space="preserve">Does task-allocation tuning map onto our lattice cell families?</t>
  </si>
  <si>
    <t xml:space="preserve">P077</t>
  </si>
  <si>
    <t xml:space="preserve">Synthetic Mixed Training: Scaling Parametric Knowledge Acquisition Beyond RAG</t>
  </si>
  <si>
    <t xml:space="preserve">Seungju Han</t>
  </si>
  <si>
    <t xml:space="preserve">Seungju Han; Konwoo Kim; Chanwoo Park; Benjamin Newman; Suhas Kotha; Jaehun Jung; James Zou; Yejin Choi</t>
  </si>
  <si>
    <t xml:space="preserve">2026-03-24</t>
  </si>
  <si>
    <t xml:space="preserve">arXiv:2603.23562</t>
  </si>
  <si>
    <t xml:space="preserve">https://arxiv.org/abs/2603.23562</t>
  </si>
  <si>
    <t xml:space="preserve">Synthetic mixed training for parametric knowledge acquisition.</t>
  </si>
  <si>
    <t xml:space="preserve">Is knowledge acquisition the right frame for TLA+ syntax, or is it a skill?</t>
  </si>
  <si>
    <t xml:space="preserve">P078</t>
  </si>
  <si>
    <t xml:space="preserve">Quantifying Memorization Across Neural Language Models</t>
  </si>
  <si>
    <t xml:space="preserve">Nicholas Carlini</t>
  </si>
  <si>
    <t xml:space="preserve">Nicholas Carlini; Daphne Ippolito; Matthew Jagielski; Katherine Lee; Florian Tramer; Chiyuan Zhang</t>
  </si>
  <si>
    <t xml:space="preserve">2022-02-15</t>
  </si>
  <si>
    <t xml:space="preserve">arXiv:2202.07646</t>
  </si>
  <si>
    <t xml:space="preserve">https://arxiv.org/abs/2202.07646</t>
  </si>
  <si>
    <t xml:space="preserve">Carlini et al. on how memorization scales with model size, duplication, and context - the foundational result.</t>
  </si>
  <si>
    <t xml:space="preserve">How many times would a TLA+ spec need to appear on GitHub before verbatim recall is expected?</t>
  </si>
  <si>
    <t xml:space="preserve">P079</t>
  </si>
  <si>
    <t xml:space="preserve">Detecting Pretraining Data from Large Language Models</t>
  </si>
  <si>
    <t xml:space="preserve">Weijia Shi</t>
  </si>
  <si>
    <t xml:space="preserve">Weijia Shi; Anirudh Ajith; Mengzhou Xia; Yangsibo Huang; Daogao Liu; Terra Blevins; Danqi Chen; Luke Zettlemoyer</t>
  </si>
  <si>
    <t xml:space="preserve">2023-10-25</t>
  </si>
  <si>
    <t xml:space="preserve">arXiv:2310.16789</t>
  </si>
  <si>
    <t xml:space="preserve">https://arxiv.org/abs/2310.16789</t>
  </si>
  <si>
    <t xml:space="preserve">Min-K% Prob, the standard reference-free pretraining-data detector.</t>
  </si>
  <si>
    <t xml:space="preserve">What does Min-K% say when run on our 206 specs against gpt-oss-120b?</t>
  </si>
  <si>
    <t xml:space="preserve">P080</t>
  </si>
  <si>
    <t xml:space="preserve">Rethinking Benchmark and Contamination for Language Models with Rephrased Samples</t>
  </si>
  <si>
    <t xml:space="preserve">Shuo Yang</t>
  </si>
  <si>
    <t xml:space="preserve">Shuo Yang; Wei-Lin Chiang; Lianmin Zheng; Joseph E. Gonzalez; Ion Stoica</t>
  </si>
  <si>
    <t xml:space="preserve">2023-11-08</t>
  </si>
  <si>
    <t xml:space="preserve">arXiv:2311.04850</t>
  </si>
  <si>
    <t xml:space="preserve">https://arxiv.org/abs/2311.04850</t>
  </si>
  <si>
    <t xml:space="preserve">Rephrased samples defeat n-gram decontamination entirely - the reason a naive dedup pass proves nothing.</t>
  </si>
  <si>
    <t xml:space="preserve">Is our decontamination stronger than n-gram matching? If not, what is the claim worth?</t>
  </si>
  <si>
    <t xml:space="preserve">P081</t>
  </si>
  <si>
    <t xml:space="preserve">Quantifying Contamination in Evaluating Code Generation Capabilities of Language Models</t>
  </si>
  <si>
    <t xml:space="preserve">Martin Riddell</t>
  </si>
  <si>
    <t xml:space="preserve">Martin Riddell; Ansong Ni; Arman Cohan</t>
  </si>
  <si>
    <t xml:space="preserve">2024-03-06</t>
  </si>
  <si>
    <t xml:space="preserve">arXiv:2403.04811</t>
  </si>
  <si>
    <t xml:space="preserve">https://arxiv.org/abs/2403.04811</t>
  </si>
  <si>
    <t xml:space="preserve">Quantifies contamination specifically in code-generation evaluation - closest domain to ours.</t>
  </si>
  <si>
    <t xml:space="preserve">What contamination rate should we assume by default for any GitHub-sourced spec corpus?</t>
  </si>
  <si>
    <t xml:space="preserve">P082</t>
  </si>
  <si>
    <t xml:space="preserve">LiveCodeBench: Holistic and Contamination Free Evaluation of Large Language Models for Code</t>
  </si>
  <si>
    <t xml:space="preserve">Naman Jain</t>
  </si>
  <si>
    <t xml:space="preserve">Naman Jain; King Han; Alex Gu; Wen-Ding Li; Fanjia Yan; Tianjun Zhang; Sida Wang; Armando Solar-Lezama; +2 more</t>
  </si>
  <si>
    <t xml:space="preserve">2024-03-12</t>
  </si>
  <si>
    <t xml:space="preserve">Website - https://livecodebench.github.io/</t>
  </si>
  <si>
    <t xml:space="preserve">arXiv:2403.07974</t>
  </si>
  <si>
    <t xml:space="preserve">https://arxiv.org/abs/2403.07974</t>
  </si>
  <si>
    <t xml:space="preserve">LiveCodeBench's rolling time-windowed design - the canonical contamination-free evaluation construction for code.</t>
  </si>
  <si>
    <t xml:space="preserve">Can the rolling-window idea apply when new TLA+ specs appear at a trickle?</t>
  </si>
  <si>
    <t xml:space="preserve">P083</t>
  </si>
  <si>
    <t xml:space="preserve">LessLeak-Bench: A First Investigation of Data Leakage in LLMs Across 83 Software Engineering Benchmarks</t>
  </si>
  <si>
    <t xml:space="preserve">Xin Zhou</t>
  </si>
  <si>
    <t xml:space="preserve">Xin Zhou; Martin Weyssow; Ratnadira Widyasari; Ting Zhang; Junda He; Yunbo Lyu; Jianming Chang; Beiqi Zhang; +2 more</t>
  </si>
  <si>
    <t xml:space="preserve">2025-02-10</t>
  </si>
  <si>
    <t xml:space="preserve">25 pages</t>
  </si>
  <si>
    <t xml:space="preserve">arXiv:2502.06215</t>
  </si>
  <si>
    <t xml:space="preserve">https://arxiv.org/abs/2502.06215</t>
  </si>
  <si>
    <t xml:space="preserve">Leakage measured across 83 SE benchmarks, with leaked-sample performance inflation quantified (one model scored 4.9x higher on leaked samples).</t>
  </si>
  <si>
    <t xml:space="preserve">What leakage ratio would we have to assume for the FormaLLM 206, and does it explain the chattla-20b headline?</t>
  </si>
  <si>
    <t xml:space="preserve">P084</t>
  </si>
  <si>
    <t xml:space="preserve">A Survey on Data Contamination for Large Language Models</t>
  </si>
  <si>
    <t xml:space="preserve">Yuxing Cheng</t>
  </si>
  <si>
    <t xml:space="preserve">Yuxing Cheng; Yi Chang; Yuan Wu</t>
  </si>
  <si>
    <t xml:space="preserve">arXiv:2502.14425</t>
  </si>
  <si>
    <t xml:space="preserve">https://arxiv.org/abs/2502.14425</t>
  </si>
  <si>
    <t xml:space="preserve">The survey; the orientation document for this whole theme and the best source of related-work citations.</t>
  </si>
  <si>
    <t xml:space="preserve">Which detection method is both credible and affordable for us?</t>
  </si>
  <si>
    <t xml:space="preserve">P085</t>
  </si>
  <si>
    <t xml:space="preserve">SWE-rebench: An Automated Pipeline for Task Collection and Decontaminated Evaluation of Software Engineering Agents</t>
  </si>
  <si>
    <t xml:space="preserve">Ibragim Badertdinov</t>
  </si>
  <si>
    <t xml:space="preserve">Ibragim Badertdinov; Alexander Golubev; Maksim Nekrashevich; Anton Shevtsov; Simon Karasik; Andrei Andriushchenko; Maria Trofimova; Daria Litvintseva; +1 more</t>
  </si>
  <si>
    <t xml:space="preserve">2025-05-26</t>
  </si>
  <si>
    <t xml:space="preserve">Dataset: https://huggingface.co/datasets/nebius/SWE-rebench, SWE-rebench leaderboard https://swe-rebench.com NeurIPS 2025</t>
  </si>
  <si>
    <t xml:space="preserve">arXiv:2505.20411</t>
  </si>
  <si>
    <t xml:space="preserve">https://arxiv.org/abs/2505.20411</t>
  </si>
  <si>
    <t xml:space="preserve">Automated pipeline for task collection plus decontaminated evaluation - the operational blueprint for widening our holdout honestly.</t>
  </si>
  <si>
    <t xml:space="preserve">Could we automate holdout expansion to 45 specs with a documented decontamination pass?</t>
  </si>
  <si>
    <t xml:space="preserve">P086</t>
  </si>
  <si>
    <t xml:space="preserve">Does SWE-Bench-Verified Test Agent Ability or Model Memory?</t>
  </si>
  <si>
    <t xml:space="preserve">Thanosan Prathifkumar</t>
  </si>
  <si>
    <t xml:space="preserve">Thanosan Prathifkumar; Noble Saji Mathews; Meiyappan Nagappan</t>
  </si>
  <si>
    <t xml:space="preserve">arXiv:2512.10218</t>
  </si>
  <si>
    <t xml:space="preserve">https://arxiv.org/abs/2512.10218</t>
  </si>
  <si>
    <t xml:space="preserve">Asks directly whether SWE-Bench-Verified measures agent ability or model memory - the same question prove-TLA asks about ChatTLA.</t>
  </si>
  <si>
    <t xml:space="preserve">What evidence design did they use, and can we run the analogue on the 206?</t>
  </si>
  <si>
    <t xml:space="preserve">P087</t>
  </si>
  <si>
    <t xml:space="preserve">LLM Benchmark Datasets Should Be Contamination-Resistant</t>
  </si>
  <si>
    <t xml:space="preserve">Ali Al-Lawati</t>
  </si>
  <si>
    <t xml:space="preserve">Ali Al-Lawati; Jason Lucas; Dongwon Lee; Suhang Wang</t>
  </si>
  <si>
    <t xml:space="preserve">2026-05-19</t>
  </si>
  <si>
    <t xml:space="preserve">Accepted to ICML 2026 Position Paper Track</t>
  </si>
  <si>
    <t xml:space="preserve">arXiv:2605.19999</t>
  </si>
  <si>
    <t xml:space="preserve">https://arxiv.org/abs/2605.19999</t>
  </si>
  <si>
    <t xml:space="preserve">The position argument that benchmarks should be built contamination-resistant from the start - directly applicable to any holdout we freeze next.</t>
  </si>
  <si>
    <t xml:space="preserve">What would a contamination-resistant TLA+ holdout look like concretely?</t>
  </si>
  <si>
    <t xml:space="preserve">P088</t>
  </si>
  <si>
    <t xml:space="preserve">TRACER: A Semantic-Aware Framework for Fine-Grained Contamination Detection in Code LLMs</t>
  </si>
  <si>
    <t xml:space="preserve">Yifeng Di</t>
  </si>
  <si>
    <t xml:space="preserve">Yifeng Di; Xuliang Huang; Tianyi Zhang</t>
  </si>
  <si>
    <t xml:space="preserve">2026-05-22</t>
  </si>
  <si>
    <t xml:space="preserve">21 pages, 2 figures, 15 tables</t>
  </si>
  <si>
    <t xml:space="preserve">arXiv:2605.24079</t>
  </si>
  <si>
    <t xml:space="preserve">https://arxiv.org/abs/2605.24079</t>
  </si>
  <si>
    <t xml:space="preserve">Semantic-aware, fine-grained contamination detection for code LLMs - n-gram matching will not catch a renamed TLA+ module.</t>
  </si>
  <si>
    <t xml:space="preserve">Can TRACER detect our corpus in gpt-oss-120b, and would it catch semantically-identical-but-renamed specs?</t>
  </si>
  <si>
    <t xml:space="preserve">P089</t>
  </si>
  <si>
    <t xml:space="preserve">Time Travel in LLMs: Tracing Data Contamination in Large Language Models</t>
  </si>
  <si>
    <t xml:space="preserve">Shahriar Golchin</t>
  </si>
  <si>
    <t xml:space="preserve">Shahriar Golchin; Mihai Surdeanu</t>
  </si>
  <si>
    <t xml:space="preserve">2023-08-16</t>
  </si>
  <si>
    <t xml:space="preserve">Published at ICLR 2024 as a Spotlight paper (notable top 5%)</t>
  </si>
  <si>
    <t xml:space="preserve">arXiv:2308.08493</t>
  </si>
  <si>
    <t xml:space="preserve">https://arxiv.org/abs/2308.08493</t>
  </si>
  <si>
    <t xml:space="preserve">Time-travel method: use temporal cutoffs to trace contamination.</t>
  </si>
  <si>
    <t xml:space="preserve">Does the gpt-oss training cutoff predate the FormaLLM corpus release?</t>
  </si>
  <si>
    <t xml:space="preserve">P090</t>
  </si>
  <si>
    <t xml:space="preserve">Investigating Data Contamination in Modern Benchmarks for Large Language Models</t>
  </si>
  <si>
    <t xml:space="preserve">Chunyuan Deng</t>
  </si>
  <si>
    <t xml:space="preserve">Chunyuan Deng; Yilun Zhao; Xiangru Tang; Mark Gerstein; Arman Cohan</t>
  </si>
  <si>
    <t xml:space="preserve">2023-11-16</t>
  </si>
  <si>
    <t xml:space="preserve">NAACL 2024 Version</t>
  </si>
  <si>
    <t xml:space="preserve">arXiv:2311.09783</t>
  </si>
  <si>
    <t xml:space="preserve">https://arxiv.org/abs/2311.09783</t>
  </si>
  <si>
    <t xml:space="preserve">Empirical contamination audit across modern benchmarks.</t>
  </si>
  <si>
    <t xml:space="preserve">What audit methodology could we run on holdout_30 cheaply?</t>
  </si>
  <si>
    <t xml:space="preserve">P091</t>
  </si>
  <si>
    <t xml:space="preserve">Task Contamination: Language Models May Not Be Few-Shot Anymore</t>
  </si>
  <si>
    <t xml:space="preserve">Changmao Li</t>
  </si>
  <si>
    <t xml:space="preserve">Changmao Li; Jeffrey Flanigan</t>
  </si>
  <si>
    <t xml:space="preserve">2023-12-26</t>
  </si>
  <si>
    <t xml:space="preserve">Accepted by AAAI 2024</t>
  </si>
  <si>
    <t xml:space="preserve">arXiv:2312.16337</t>
  </si>
  <si>
    <t xml:space="preserve">https://arxiv.org/abs/2312.16337</t>
  </si>
  <si>
    <t xml:space="preserve">Task contamination: models may not be few-shot at all on tasks seen in pretraining.</t>
  </si>
  <si>
    <t xml:space="preserve">Are our few-shot framing-A results measuring capability or recall?</t>
  </si>
  <si>
    <t xml:space="preserve">P092</t>
  </si>
  <si>
    <t xml:space="preserve">Min-K%++: Improved Baseline for Detecting Pre-Training Data from Large Language Models</t>
  </si>
  <si>
    <t xml:space="preserve">Jingyang Zhang</t>
  </si>
  <si>
    <t xml:space="preserve">Jingyang Zhang; Jingwei Sun; Eric Yeats; Yang Ouyang; Martin Kuo; Jianyi Zhang; Hao Frank Yang; Hai Li</t>
  </si>
  <si>
    <t xml:space="preserve">2024-04-03</t>
  </si>
  <si>
    <t xml:space="preserve">ICLR'25 Spotlight. Project page and code is available at https://zjysteven.github.io/mink-plus-plus/</t>
  </si>
  <si>
    <t xml:space="preserve">arXiv:2404.02936</t>
  </si>
  <si>
    <t xml:space="preserve">https://arxiv.org/abs/2404.02936</t>
  </si>
  <si>
    <t xml:space="preserve">Min-K%++ - the normalized, more accurate successor.</t>
  </si>
  <si>
    <t xml:space="preserve">Which of the two should the decontamination pass actually use?</t>
  </si>
  <si>
    <t xml:space="preserve">P093</t>
  </si>
  <si>
    <t xml:space="preserve">Benchmarking Benchmark Leakage in Large Language Models</t>
  </si>
  <si>
    <t xml:space="preserve">Ruijie Xu</t>
  </si>
  <si>
    <t xml:space="preserve">Ruijie Xu; Zengzhi Wang; Run-Ze Fan; Pengfei Liu</t>
  </si>
  <si>
    <t xml:space="preserve">2024-04-29</t>
  </si>
  <si>
    <t xml:space="preserve">30 pages; Homepage: https://gair-nlp.github.io/benbench</t>
  </si>
  <si>
    <t xml:space="preserve">arXiv:2404.18824</t>
  </si>
  <si>
    <t xml:space="preserve">https://arxiv.org/abs/2404.18824</t>
  </si>
  <si>
    <t xml:space="preserve">Detection metrics for benchmark leakage, aimed at leaderboard integrity.</t>
  </si>
  <si>
    <t xml:space="preserve">Which metric is defensible to cite in a paper claiming a decontaminated holdout?</t>
  </si>
  <si>
    <t xml:space="preserve">P094</t>
  </si>
  <si>
    <t xml:space="preserve">LLM Dataset Inference: Did you train on my dataset?</t>
  </si>
  <si>
    <t xml:space="preserve">Pratyush Maini</t>
  </si>
  <si>
    <t xml:space="preserve">Pratyush Maini; Hengrui Jia; Nicolas Papernot; Adam Dziedzic</t>
  </si>
  <si>
    <t xml:space="preserve">2024-06-10</t>
  </si>
  <si>
    <t xml:space="preserve">Code is available at \href{https://github.com/pratyushmaini/llm_dataset_inference/</t>
  </si>
  <si>
    <t xml:space="preserve">arXiv:2406.06443</t>
  </si>
  <si>
    <t xml:space="preserve">https://arxiv.org/abs/2406.06443</t>
  </si>
  <si>
    <t xml:space="preserve">Dataset inference: statistically stronger than per-example membership inference, which is known to be unreliable.</t>
  </si>
  <si>
    <t xml:space="preserve">Is dataset inference strong enough to prove the 206 was in gpt-oss training?</t>
  </si>
  <si>
    <t xml:space="preserve">P095</t>
  </si>
  <si>
    <t xml:space="preserve">Inference-Time Decontamination: Reusing Leaked Benchmarks for Large Language Model Evaluation</t>
  </si>
  <si>
    <t xml:space="preserve">Qin Zhu</t>
  </si>
  <si>
    <t xml:space="preserve">Qin Zhu; Qingyuan Cheng; Runyu Peng; Xiaonan Li; Tengxiao Liu; Ru Peng; Xipeng Qiu; Xuanjing Huang</t>
  </si>
  <si>
    <t xml:space="preserve">2024-06-20</t>
  </si>
  <si>
    <t xml:space="preserve">arXiv:2406.13990</t>
  </si>
  <si>
    <t xml:space="preserve">https://arxiv.org/abs/2406.13990</t>
  </si>
  <si>
    <t xml:space="preserve">Inference-time decontamination rewrites leaked samples without changing difficulty - a way to reuse the contaminated 206.</t>
  </si>
  <si>
    <t xml:space="preserve">Could ITD turn part of the 206 into G2-eligible evaluation?</t>
  </si>
  <si>
    <t xml:space="preserve">P096</t>
  </si>
  <si>
    <t xml:space="preserve">How Contaminated Is Your Benchmark? Quantifying Dataset Leakage in Large Language Models with Kernel Divergence</t>
  </si>
  <si>
    <t xml:space="preserve">Hyeong Kyu Choi</t>
  </si>
  <si>
    <t xml:space="preserve">Hyeong Kyu Choi; Maxim Khanov; Hongxin Wei; Yixuan Li</t>
  </si>
  <si>
    <t xml:space="preserve">2025-02-02</t>
  </si>
  <si>
    <t xml:space="preserve">ICML 2025</t>
  </si>
  <si>
    <t xml:space="preserve">arXiv:2502.00678</t>
  </si>
  <si>
    <t xml:space="preserve">https://arxiv.org/abs/2502.00678</t>
  </si>
  <si>
    <t xml:space="preserve">Quantifies leakage via kernel divergence rather than string matching - gives a number instead of a binary.</t>
  </si>
  <si>
    <t xml:space="preserve">Can we produce a leakage score for holdout_30 to put in the amendment log?</t>
  </si>
  <si>
    <t xml:space="preserve">P097</t>
  </si>
  <si>
    <t xml:space="preserve">SWE-MERA: A Dynamic Benchmark for Agenticly Evaluating Large Language Models on Software Engineering Tasks</t>
  </si>
  <si>
    <t xml:space="preserve">Pavel Adamenko</t>
  </si>
  <si>
    <t xml:space="preserve">Pavel Adamenko; Mikhail Ivanov; Aidar Valeev; Rodion Levichev; Pavel Zadorozhny; Ivan Lopatin; Dmitry Babaev; Alena Fenogenova; +1 more</t>
  </si>
  <si>
    <t xml:space="preserve">2025-07-15</t>
  </si>
  <si>
    <t xml:space="preserve">EMNLP 2025</t>
  </si>
  <si>
    <t xml:space="preserve">arXiv:2507.11059</t>
  </si>
  <si>
    <t xml:space="preserve">https://arxiv.org/abs/2507.11059</t>
  </si>
  <si>
    <t xml:space="preserve">Dynamic, continuously updated benchmark as a structural defense against contamination.</t>
  </si>
  <si>
    <t xml:space="preserve">Is a rolling TLA+ benchmark feasible given how few specs exist?</t>
  </si>
  <si>
    <t xml:space="preserve">P098</t>
  </si>
  <si>
    <t xml:space="preserve">Detecting Data Contamination in LLMs via In-Context Learning</t>
  </si>
  <si>
    <t xml:space="preserve">Michał Zawalski</t>
  </si>
  <si>
    <t xml:space="preserve">Michał Zawalski; Meriem Boubdir; Klaudia Bałazy; Besmira Nushi; Pablo Ribalta</t>
  </si>
  <si>
    <t xml:space="preserve">2025-10-30</t>
  </si>
  <si>
    <t xml:space="preserve">arXiv:2510.27055</t>
  </si>
  <si>
    <t xml:space="preserve">https://arxiv.org/abs/2510.27055</t>
  </si>
  <si>
    <t xml:space="preserve">Detects contamination by measuring how in-context examples change performance - cheap and black-box.</t>
  </si>
  <si>
    <t xml:space="preserve">Is the ICL-delta test runnable against our inference endpoint without white-box access?</t>
  </si>
  <si>
    <t xml:space="preserve">P099</t>
  </si>
  <si>
    <t xml:space="preserve">When Benchmarks Leak: Inference-Time Decontamination for LLMs</t>
  </si>
  <si>
    <t xml:space="preserve">Jianzhe Chai</t>
  </si>
  <si>
    <t xml:space="preserve">Jianzhe Chai; Yu Zhe; Jun Sakuma</t>
  </si>
  <si>
    <t xml:space="preserve">2026-01-27</t>
  </si>
  <si>
    <t xml:space="preserve">arXiv:2601.19334</t>
  </si>
  <si>
    <t xml:space="preserve">https://arxiv.org/abs/2601.19334</t>
  </si>
  <si>
    <t xml:space="preserve">A more recent inference-time decontamination method for leaked benchmarks.</t>
  </si>
  <si>
    <t xml:space="preserve">Does it improve on the 2024 ITD result enough to be worth implementing?</t>
  </si>
  <si>
    <t xml:space="preserve">P100</t>
  </si>
  <si>
    <t xml:space="preserve">STAMP Your Content: Proving Dataset Membership via Watermarked Rephrasings</t>
  </si>
  <si>
    <t xml:space="preserve">Saksham Rastogi</t>
  </si>
  <si>
    <t xml:space="preserve">Saksham Rastogi; Pratyush Maini; Danish Pruthi</t>
  </si>
  <si>
    <t xml:space="preserve">2025-04-18</t>
  </si>
  <si>
    <t xml:space="preserve">Published at ICML 25, Code is available at https://github.com/codeboy5/stamp</t>
  </si>
  <si>
    <t xml:space="preserve">arXiv:2504.13416</t>
  </si>
  <si>
    <t xml:space="preserve">https://arxiv.org/abs/2504.13416</t>
  </si>
  <si>
    <t xml:space="preserve">Watermarked rephrasings to prove dataset membership after the fact.</t>
  </si>
  <si>
    <t xml:space="preserve">Should future corpus releases carry watermarks so downstream contamination is provable?</t>
  </si>
  <si>
    <t xml:space="preserve">P101</t>
  </si>
  <si>
    <t xml:space="preserve">LexiMark: Robust Watermarking via Lexical Substitutions to Enhance Membership Verification of an LLM's Textual Training Data</t>
  </si>
  <si>
    <t xml:space="preserve">Eyal German</t>
  </si>
  <si>
    <t xml:space="preserve">Eyal German; Sagiv Antebi; Edan Habler; Asaf Shabtai; Yuval Elovici</t>
  </si>
  <si>
    <t xml:space="preserve">arXiv:2506.14474</t>
  </si>
  <si>
    <t xml:space="preserve">https://arxiv.org/abs/2506.14474</t>
  </si>
  <si>
    <t xml:space="preserve">Lexical-substitution watermarking for membership verification of training text.</t>
  </si>
  <si>
    <t xml:space="preserve">Would lexical watermarking survive TLA+ syntax constraints?</t>
  </si>
  <si>
    <t xml:space="preserve">P102</t>
  </si>
  <si>
    <t xml:space="preserve">Unlocking Post-hoc Dataset Inference with Synthetic Data</t>
  </si>
  <si>
    <t xml:space="preserve">Bihe Zhao</t>
  </si>
  <si>
    <t xml:space="preserve">Bihe Zhao; Pratyush Maini; Franziska Boenisch; Adam Dziedzic</t>
  </si>
  <si>
    <t xml:space="preserve">2025-06-18</t>
  </si>
  <si>
    <t xml:space="preserve">Accepted at ICML 2025</t>
  </si>
  <si>
    <t xml:space="preserve">arXiv:2506.15271</t>
  </si>
  <si>
    <t xml:space="preserve">https://arxiv.org/abs/2506.15271</t>
  </si>
  <si>
    <t xml:space="preserve">Post-hoc dataset inference using synthetic data when the original is unavailable.</t>
  </si>
  <si>
    <t xml:space="preserve">Applicable when we cannot access a model's training set at all?</t>
  </si>
  <si>
    <t xml:space="preserve">P103</t>
  </si>
  <si>
    <t xml:space="preserve">Dissecting the SWE-Bench Leaderboards: Profiling Submitters and Architectures of LLM- and Agent-Based Repair Systems</t>
  </si>
  <si>
    <t xml:space="preserve">Matias Martinez</t>
  </si>
  <si>
    <t xml:space="preserve">Matias Martinez; Xavier Franch</t>
  </si>
  <si>
    <t xml:space="preserve">2025-06-20</t>
  </si>
  <si>
    <t xml:space="preserve">Part of this work (RQ1) has been published at the 2026 IEEE/ACM 48th International Conference on Software Engineering (ICSE-SEIP 2026), DOI: 10.1145/3786583.3786904. The published </t>
  </si>
  <si>
    <t xml:space="preserve">arXiv:2506.17208</t>
  </si>
  <si>
    <t xml:space="preserve">https://arxiv.org/abs/2506.17208</t>
  </si>
  <si>
    <t xml:space="preserve">Profiles who submits to SWE-Bench leaderboards and how - useful context on how headline numbers get produced.</t>
  </si>
  <si>
    <t xml:space="preserve">What submission practices should we adopt so our numbers are auditable by others?</t>
  </si>
  <si>
    <t xml:space="preserve">P104</t>
  </si>
  <si>
    <t xml:space="preserve">Membership and Memorization in LLM Knowledge Distillation</t>
  </si>
  <si>
    <t xml:space="preserve">Ziqi Zhang</t>
  </si>
  <si>
    <t xml:space="preserve">Ziqi Zhang; Ali Shahin Shamsabadi; Hanxiao Lu; Yifeng Cai; Hamed Haddadi</t>
  </si>
  <si>
    <t xml:space="preserve">2025-08-09</t>
  </si>
  <si>
    <t xml:space="preserve">arXiv:2508.07054</t>
  </si>
  <si>
    <t xml:space="preserve">https://arxiv.org/abs/2508.07054</t>
  </si>
  <si>
    <t xml:space="preserve">Membership and memorization survive knowledge distillation - contamination is inherited by student models.</t>
  </si>
  <si>
    <t xml:space="preserve">Does a distilled or merged model inherit the 206 contamination?</t>
  </si>
  <si>
    <t xml:space="preserve">P105</t>
  </si>
  <si>
    <t xml:space="preserve">Neural Breadcrumbs: Membership Inference Attacks on LLMs Through Hidden State and Attention Pattern Analysis</t>
  </si>
  <si>
    <t xml:space="preserve">Disha Makhija</t>
  </si>
  <si>
    <t xml:space="preserve">Disha Makhija; Manoj Ghuhan Arivazhagan; Vinayshekhar Bannihatti Kumar; Rashmi Gangadharaiah</t>
  </si>
  <si>
    <t xml:space="preserve">2025-09-05</t>
  </si>
  <si>
    <t xml:space="preserve">arXiv:2509.05449</t>
  </si>
  <si>
    <t xml:space="preserve">https://arxiv.org/abs/2509.05449</t>
  </si>
  <si>
    <t xml:space="preserve">Membership inference from hidden states and attention patterns - needs white-box access.</t>
  </si>
  <si>
    <t xml:space="preserve">Do we have white-box access to any model we care about?</t>
  </si>
  <si>
    <t xml:space="preserve">P106</t>
  </si>
  <si>
    <t xml:space="preserve">Evaluating Large Language Models Trained on Code</t>
  </si>
  <si>
    <t xml:space="preserve">Mark Chen</t>
  </si>
  <si>
    <t xml:space="preserve">Mark Chen; Jerry Tworek; Heewoo Jun; Qiming Yuan; Henrique Ponde de Oliveira Pinto; Jared Kaplan; Harri Edwards; Yuri Burda; +50 more</t>
  </si>
  <si>
    <t xml:space="preserve">2021-07-07</t>
  </si>
  <si>
    <t xml:space="preserve">corrected typos, added references, added authors, added acknowledgements</t>
  </si>
  <si>
    <t xml:space="preserve">arXiv:2107.03374</t>
  </si>
  <si>
    <t xml:space="preserve">https://arxiv.org/abs/2107.03374</t>
  </si>
  <si>
    <t xml:space="preserve">The Codex paper, which defines pass@k and its unbiased estimator - the metric whose limits the row-level re-analysis exposed.</t>
  </si>
  <si>
    <t xml:space="preserve">Does the unbiased estimator change our conclusion versus the naive pass@32 count?</t>
  </si>
  <si>
    <t xml:space="preserve">P107</t>
  </si>
  <si>
    <t xml:space="preserve">STaR: Bootstrapping Reasoning With Reasoning</t>
  </si>
  <si>
    <t xml:space="preserve">Eric Zelikman</t>
  </si>
  <si>
    <t xml:space="preserve">Eric Zelikman; Yuhuai Wu; Jesse Mu; Noah D. Goodman</t>
  </si>
  <si>
    <t xml:space="preserve">2022-03-28</t>
  </si>
  <si>
    <t xml:space="preserve">arXiv:2203.14465</t>
  </si>
  <si>
    <t xml:space="preserve">https://arxiv.org/abs/2203.14465</t>
  </si>
  <si>
    <t xml:space="preserve">STaR - bootstrapping from self-generated correct traces; the ancestor of the whole verify-then-train flywheel.</t>
  </si>
  <si>
    <t xml:space="preserve">What is the minimum seed set size for bootstrapping to take off?</t>
  </si>
  <si>
    <t xml:space="preserve">P108</t>
  </si>
  <si>
    <t xml:space="preserve">Direct Preference Optimization: Your Language Model is Secretly a Reward Model</t>
  </si>
  <si>
    <t xml:space="preserve">Rafael Rafailov</t>
  </si>
  <si>
    <t xml:space="preserve">Rafael Rafailov; Archit Sharma; Eric Mitchell; Stefano Ermon; Christopher D. Manning; Chelsea Finn</t>
  </si>
  <si>
    <t xml:space="preserve">2023-05-29</t>
  </si>
  <si>
    <t xml:space="preserve">arXiv:2305.18290</t>
  </si>
  <si>
    <t xml:space="preserve">https://arxiv.org/abs/2305.18290</t>
  </si>
  <si>
    <t xml:space="preserve">DPO - the preference-optimization method TLA-Prover's LoRA is built on.</t>
  </si>
  <si>
    <t xml:space="preserve">Where does the preference data come from in a verifier-graded setting, and is it well-formed?</t>
  </si>
  <si>
    <t xml:space="preserve">P109</t>
  </si>
  <si>
    <t xml:space="preserve">Is Self-Repair a Silver Bullet for Code Generation?</t>
  </si>
  <si>
    <t xml:space="preserve">Theo X. Olausson</t>
  </si>
  <si>
    <t xml:space="preserve">Theo X. Olausson; Jeevana Priya Inala; Chenglong Wang; Jianfeng Gao; Armando Solar-Lezama</t>
  </si>
  <si>
    <t xml:space="preserve">2023-06-16</t>
  </si>
  <si>
    <t xml:space="preserve">Accepted to ICLR 2024. Added additional Code Llama experiments and fixed a data processing error harming Code Llama's reported self-repair performance on HumanEval</t>
  </si>
  <si>
    <t xml:space="preserve">arXiv:2306.09896</t>
  </si>
  <si>
    <t xml:space="preserve">https://arxiv.org/abs/2306.09896</t>
  </si>
  <si>
    <t xml:space="preserve">Argues self-repair is not a silver bullet and that gains are often mismeasured - the skeptical read of our own repair numbers.</t>
  </si>
  <si>
    <t xml:space="preserve">Does their critique apply to the 166/206 model-only repair figure?</t>
  </si>
  <si>
    <t xml:space="preserve">P110</t>
  </si>
  <si>
    <t xml:space="preserve">Scaling Relationship on Learning Mathematical Reasoning with Large Language Models</t>
  </si>
  <si>
    <t xml:space="preserve">Zheng Yuan</t>
  </si>
  <si>
    <t xml:space="preserve">Zheng Yuan; Hongyi Yuan; Chengpeng Li; Guanting Dong; Keming Lu; Chuanqi Tan; Chang Zhou; Jingren Zhou</t>
  </si>
  <si>
    <t xml:space="preserve">2023-08-03</t>
  </si>
  <si>
    <t xml:space="preserve">Working in Progress</t>
  </si>
  <si>
    <t xml:space="preserve">arXiv:2308.01825</t>
  </si>
  <si>
    <t xml:space="preserve">https://arxiv.org/abs/2308.01825</t>
  </si>
  <si>
    <t xml:space="preserve">The original rejection-sampling fine-tuning result and its scaling behavior - the method PLAN locked in.</t>
  </si>
  <si>
    <t xml:space="preserve">What sample budget did RFT need per problem, and are we anywhere near it?</t>
  </si>
  <si>
    <t xml:space="preserve">P111</t>
  </si>
  <si>
    <t xml:space="preserve">DeepSeekMath: Pushing the Limits of Mathematical Reasoning in Open Language Models</t>
  </si>
  <si>
    <t xml:space="preserve">Zhihong Shao</t>
  </si>
  <si>
    <t xml:space="preserve">Zhihong Shao; Peiyi Wang; Qihao Zhu; Runxin Xu; Junxiao Song; Xiao Bi; Haowei Zhang; Mingchuan Zhang; +3 more</t>
  </si>
  <si>
    <t xml:space="preserve">2024-02-05</t>
  </si>
  <si>
    <t xml:space="preserve">arXiv:2402.03300</t>
  </si>
  <si>
    <t xml:space="preserve">https://arxiv.org/abs/2402.03300</t>
  </si>
  <si>
    <t xml:space="preserve">The GRPO paper. Required reading before any claim about repair-based GRPO, including TLA-Prover's.</t>
  </si>
  <si>
    <t xml:space="preserve">What does GRPO need that our verifier signal cannot supply?</t>
  </si>
  <si>
    <t xml:space="preserve">P112</t>
  </si>
  <si>
    <t xml:space="preserve">RLEF: Grounding Code LLMs in Execution Feedback with Reinforcement Learning</t>
  </si>
  <si>
    <t xml:space="preserve">Jonas Gehring</t>
  </si>
  <si>
    <t xml:space="preserve">Jonas Gehring; Kunhao Zheng; Jade Copet; Vegard Mella; Quentin Carbonneaux; Taco Cohen; Gabriel Synnaeve</t>
  </si>
  <si>
    <t xml:space="preserve">Add repair model ablation, update related work</t>
  </si>
  <si>
    <t xml:space="preserve">arXiv:2410.02089</t>
  </si>
  <si>
    <t xml:space="preserve">https://arxiv.org/abs/2410.02089</t>
  </si>
  <si>
    <t xml:space="preserve">End-to-end RL on execution feedback; state of the art with an order of magnitude fewer samples - the strongest argument that the loop, not the weights, carries the signal.</t>
  </si>
  <si>
    <t xml:space="preserve">Does RLEF's setup port to a checker (SANY/TLC) instead of a test suite?</t>
  </si>
  <si>
    <t xml:space="preserve">P113</t>
  </si>
  <si>
    <t xml:space="preserve">A Minimalist Approach to LLM Reasoning: from Rejection Sampling to Reinforce</t>
  </si>
  <si>
    <t xml:space="preserve">Wei Xiong</t>
  </si>
  <si>
    <t xml:space="preserve">Wei Xiong; Jiarui Yao; Yuhui Xu; Bo Pang; Lei Wang; Doyen Sahoo; Junnan Li; Nan Jiang; +3 more</t>
  </si>
  <si>
    <t xml:space="preserve">2025-04-15</t>
  </si>
  <si>
    <t xml:space="preserve">arXiv:2504.11343</t>
  </si>
  <si>
    <t xml:space="preserve">https://arxiv.org/abs/2504.11343</t>
  </si>
  <si>
    <t xml:space="preserve">Shows plain rejection sampling (RAFT) is competitive with GRPO and PPO, and that online data collection is the real driver.</t>
  </si>
  <si>
    <t xml:space="preserve">Does this vindicate the LOCKED rejection-sampling method, or argue for going online?</t>
  </si>
  <si>
    <t xml:space="preserve">P114</t>
  </si>
  <si>
    <t xml:space="preserve">Reinforcement Learning with Verifiable yet Noisy Rewards under Imperfect Verifiers</t>
  </si>
  <si>
    <t xml:space="preserve">Xin-Qiang Cai</t>
  </si>
  <si>
    <t xml:space="preserve">Xin-Qiang Cai; Wei Wang; Feng Liu; Tongliang Liu; Gang Niu; Masashi Sugiyama</t>
  </si>
  <si>
    <t xml:space="preserve">2025-10-01</t>
  </si>
  <si>
    <t xml:space="preserve">arXiv:2510.00915</t>
  </si>
  <si>
    <t xml:space="preserve">https://arxiv.org/abs/2510.00915</t>
  </si>
  <si>
    <t xml:space="preserve">RL under verifiable but noisy rewards with imperfect verifiers - the formal treatment of training against a checker that is sometimes wrong.</t>
  </si>
  <si>
    <t xml:space="preserve">What false-positive rate can our reward tolerate before training degrades?</t>
  </si>
  <si>
    <t xml:space="preserve">P115</t>
  </si>
  <si>
    <t xml:space="preserve">LLMs Gaming Verifiers: RLVR can Lead to Reward Hacking</t>
  </si>
  <si>
    <t xml:space="preserve">Lukas Helff</t>
  </si>
  <si>
    <t xml:space="preserve">Lukas Helff; Quentin Delfosse; David Steinmann; Ruben Härle; Hikaru Shindo; Patrick Schramowski; Wolfgang Stammer; Kristian Kersting; +1 more</t>
  </si>
  <si>
    <t xml:space="preserve">2026-04-16</t>
  </si>
  <si>
    <t xml:space="preserve">arXiv:2604.15149</t>
  </si>
  <si>
    <t xml:space="preserve">https://arxiv.org/abs/2604.15149</t>
  </si>
  <si>
    <t xml:space="preserve">LLMs gaming verifiers: imperfect verifiers admit false positives and models learn to exploit them - a precise external description of the false passes Rule 9 caught.</t>
  </si>
  <si>
    <t xml:space="preserve">Does isomorphic perturbation testing generalize to TLA+, and would it have caught all 4 false passes?</t>
  </si>
  <si>
    <t xml:space="preserve">P116</t>
  </si>
  <si>
    <t xml:space="preserve">Before the Model Learns the Bug:Fuzzing RLVR Verifiers</t>
  </si>
  <si>
    <t xml:space="preserve">Jaideep Ray</t>
  </si>
  <si>
    <t xml:space="preserve">2026-05-31</t>
  </si>
  <si>
    <t xml:space="preserve">arXiv:2606.01066</t>
  </si>
  <si>
    <t xml:space="preserve">https://arxiv.org/abs/2606.01066</t>
  </si>
  <si>
    <t xml:space="preserve">Fuzzing RLVR verifiers to find false-positive regions before the model does - a defensive practice we should adopt for the mutation battery.</t>
  </si>
  <si>
    <t xml:space="preserve">Should we fuzz our own vacuity battery before the next training run?</t>
  </si>
  <si>
    <t xml:space="preserve">P117</t>
  </si>
  <si>
    <t xml:space="preserve">Self-Refine: Iterative Refinement with Self-Feedback</t>
  </si>
  <si>
    <t xml:space="preserve">Aman Madaan</t>
  </si>
  <si>
    <t xml:space="preserve">Aman Madaan; Niket Tandon; Prakhar Gupta; Skyler Hallinan; Luyu Gao; Sarah Wiegreffe; Uri Alon; Nouha Dziri; +8 more</t>
  </si>
  <si>
    <t xml:space="preserve">2023-03-30</t>
  </si>
  <si>
    <t xml:space="preserve">Code, data, and demo at https://selfrefine.info/</t>
  </si>
  <si>
    <t xml:space="preserve">arXiv:2303.17651</t>
  </si>
  <si>
    <t xml:space="preserve">https://arxiv.org/abs/2303.17651</t>
  </si>
  <si>
    <t xml:space="preserve">Self-Refine - iterative self-feedback without extra training; the no-training control our repair loop should beat.</t>
  </si>
  <si>
    <t xml:space="preserve">Is our repair loop actually beating self-refinement, or matching it?</t>
  </si>
  <si>
    <t xml:space="preserve">P118</t>
  </si>
  <si>
    <t xml:space="preserve">The Art of Repair: Optimizing Iterative Program Repair with Instruction-Tuned Models</t>
  </si>
  <si>
    <t xml:space="preserve">Fernando Vallecillos Ruiz</t>
  </si>
  <si>
    <t xml:space="preserve">Fernando Vallecillos Ruiz; Max Hort; Leon Moonen</t>
  </si>
  <si>
    <t xml:space="preserve">2025-05-05</t>
  </si>
  <si>
    <t xml:space="preserve">Accepted for publication in the research track of the 29th International Conference on Evaluation and Assessment in Software Engineering (EASE), 17-20 June 2025, Istanbul, Türkiye</t>
  </si>
  <si>
    <t xml:space="preserve">arXiv:2505.02931</t>
  </si>
  <si>
    <t xml:space="preserve">https://arxiv.org/abs/2505.02931</t>
  </si>
  <si>
    <t xml:space="preserve">Optimizing iterative program repair with instruction-tuned models - practical settings for repair loops.</t>
  </si>
  <si>
    <t xml:space="preserve">What iteration count and temperature actually maximize repair yield?</t>
  </si>
  <si>
    <t xml:space="preserve">P119</t>
  </si>
  <si>
    <t xml:space="preserve">A Survey on Code Generation with LLM-based Agents</t>
  </si>
  <si>
    <t xml:space="preserve">Yihong Dong</t>
  </si>
  <si>
    <t xml:space="preserve">Yihong Dong; Xue Jiang; Jiaru Qian; Tian Wang; Kechi Zhang; Zhi Jin; Ge Li</t>
  </si>
  <si>
    <t xml:space="preserve">2025-07-31</t>
  </si>
  <si>
    <t xml:space="preserve">Work in progress (V2)</t>
  </si>
  <si>
    <t xml:space="preserve">arXiv:2508.00083</t>
  </si>
  <si>
    <t xml:space="preserve">https://arxiv.org/abs/2508.00083</t>
  </si>
  <si>
    <t xml:space="preserve">Survey of LLM-based code-generation agents; taxonomy of feedback types (compile, test, verification, verbal).</t>
  </si>
  <si>
    <t xml:space="preserve">Which feedback types are we using, and which are we leaving on the table?</t>
  </si>
  <si>
    <t xml:space="preserve">P120</t>
  </si>
  <si>
    <t xml:space="preserve">A Deep Dive into Scaling RL for Code Generation with Synthetic Data and Curricula</t>
  </si>
  <si>
    <t xml:space="preserve">Cansu Sancaktar</t>
  </si>
  <si>
    <t xml:space="preserve">Cansu Sancaktar; David Zhang; Gabriel Synnaeve; Taco Cohen</t>
  </si>
  <si>
    <t xml:space="preserve">2026-03-25</t>
  </si>
  <si>
    <t xml:space="preserve">arXiv:2603.24202</t>
  </si>
  <si>
    <t xml:space="preserve">https://arxiv.org/abs/2603.24202</t>
  </si>
  <si>
    <t xml:space="preserve">Deep dive into scaling RL for code generation with synthetic data and curricula.</t>
  </si>
  <si>
    <t xml:space="preserve">Is curriculum ordering worth adding to the W4 corpus export?</t>
  </si>
  <si>
    <t xml:space="preserve">P121</t>
  </si>
  <si>
    <t xml:space="preserve">Combinatorial Synthesis: Scaling Code RLVR via Atomic Decomposition and Recombination</t>
  </si>
  <si>
    <t xml:space="preserve">Jiasheng Zheng</t>
  </si>
  <si>
    <t xml:space="preserve">Jiasheng Zheng; Boxi Cao; Boxi Yu; Yuzhong Zhang; Jialun Cao; Yaojie Lu; Hongyu Lin; Xianpei Han; +1 more</t>
  </si>
  <si>
    <t xml:space="preserve">Work in progress</t>
  </si>
  <si>
    <t xml:space="preserve">arXiv:2605.31058</t>
  </si>
  <si>
    <t xml:space="preserve">https://arxiv.org/abs/2605.31058</t>
  </si>
  <si>
    <t xml:space="preserve">Scaling code RLVR by decomposing and recombining atomic tasks - a corpus-construction idea for verifier-graded domains.</t>
  </si>
  <si>
    <t xml:space="preserve">Could atomic decomposition raise the yield of our lattice cells?</t>
  </si>
  <si>
    <t xml:space="preserve">P122</t>
  </si>
  <si>
    <t xml:space="preserve">Learning Planning-based Reasoning by Trajectories Collection and Process Reward Synthesizing</t>
  </si>
  <si>
    <t xml:space="preserve">Fangkai Jiao</t>
  </si>
  <si>
    <t xml:space="preserve">Fangkai Jiao; Chengwei Qin; Zhengyuan Liu; Nancy F. Chen; Shafiq Joty</t>
  </si>
  <si>
    <t xml:space="preserve">2024-02-01</t>
  </si>
  <si>
    <t xml:space="preserve">17 pages, 9 figures. EMNLP 2024</t>
  </si>
  <si>
    <t xml:space="preserve">arXiv:2402.00658</t>
  </si>
  <si>
    <t xml:space="preserve">https://arxiv.org/abs/2402.00658</t>
  </si>
  <si>
    <t xml:space="preserve">Trajectory collection plus process reward synthesis for planning-based reasoning.</t>
  </si>
  <si>
    <t xml:space="preserve">Is process reward feasible when only the final spec is checkable?</t>
  </si>
  <si>
    <t xml:space="preserve">P123</t>
  </si>
  <si>
    <t xml:space="preserve">ReflectionCoder: Learning from Reflection Sequence for Enhanced One-off Code Generation</t>
  </si>
  <si>
    <t xml:space="preserve">Houxing Ren</t>
  </si>
  <si>
    <t xml:space="preserve">Houxing Ren; Mingjie Zhan; Zhongyuan Wu; Aojun Zhou; Junting Pan; Hongsheng Li</t>
  </si>
  <si>
    <t xml:space="preserve">2024-05-27</t>
  </si>
  <si>
    <t xml:space="preserve">Accepted to ACL 2025 (main conference)</t>
  </si>
  <si>
    <t xml:space="preserve">arXiv:2405.17057</t>
  </si>
  <si>
    <t xml:space="preserve">https://arxiv.org/abs/2405.17057</t>
  </si>
  <si>
    <t xml:space="preserve">ReflectionCoder distills reflection sequences into one-shot generation.</t>
  </si>
  <si>
    <t xml:space="preserve">Could repair traces be distilled into better single-shot generation?</t>
  </si>
  <si>
    <t xml:space="preserve">P124</t>
  </si>
  <si>
    <t xml:space="preserve">OneReason Technical Report</t>
  </si>
  <si>
    <t xml:space="preserve"> OneRec Team</t>
  </si>
  <si>
    <t xml:space="preserve"> OneRec Team; Biao Yang; Boyang Ding; Chenglong Chu; Dunju Zang; Fei Pan; Han Li; Hao Jiang; +76 more</t>
  </si>
  <si>
    <t xml:space="preserve">arXiv:2606.06260</t>
  </si>
  <si>
    <t xml:space="preserve">https://arxiv.org/abs/2606.06260</t>
  </si>
  <si>
    <t xml:space="preserve">A current reasoning-model technical report; useful for the practical recipe details.</t>
  </si>
  <si>
    <t xml:space="preserve">Any training details worth copying wholesale?</t>
  </si>
  <si>
    <t xml:space="preserve">P125</t>
  </si>
  <si>
    <t xml:space="preserve">SCOPE: Leveraging Subgoal Critiques for Code Generation</t>
  </si>
  <si>
    <t xml:space="preserve">Yueke Zhang</t>
  </si>
  <si>
    <t xml:space="preserve">Yueke Zhang; Yifan Zhang; Zihan Fang; Kevin Leach; Wei Zhang; Yu Huang</t>
  </si>
  <si>
    <t xml:space="preserve">2026-07-07</t>
  </si>
  <si>
    <t xml:space="preserve">arXiv:2607.05810</t>
  </si>
  <si>
    <t xml:space="preserve">https://arxiv.org/abs/2607.05810</t>
  </si>
  <si>
    <t xml:space="preserve">Subgoal critiques for code generation.</t>
  </si>
  <si>
    <t xml:space="preserve">Do subgoal critiques map onto spec sub-components (init, next, invariant)?</t>
  </si>
  <si>
    <t xml:space="preserve">Themes - what each pair of readers owns</t>
  </si>
  <si>
    <t xml:space="preserve">Name</t>
  </si>
  <si>
    <t xml:space="preserve">Readers</t>
  </si>
  <si>
    <t xml:space="preserve">Maps to concern</t>
  </si>
  <si>
    <t xml:space="preserve">The question this theme owns</t>
  </si>
  <si>
    <t xml:space="preserve">R01, R02</t>
  </si>
  <si>
    <t xml:space="preserve">Both (state of the art)</t>
  </si>
  <si>
    <t xml:space="preserve">How TLA+ specs, TLC/SANY/Apalache/TLAPS, and LLM-driven spec work actually behave. Owns the question: what is the state of the art we must beat, and is any of it measured honestly?</t>
  </si>
  <si>
    <t xml:space="preserve">R03, R04</t>
  </si>
  <si>
    <t xml:space="preserve">Both (method transfer)</t>
  </si>
  <si>
    <t xml:space="preserve">Dafny, Verus, Lean, F*, and autoformalization. Owns the question: what has worked in neighbouring formal languages that we have not tried, especially on spec faithfulness.</t>
  </si>
  <si>
    <t xml:space="preserve">R05, R06</t>
  </si>
  <si>
    <t xml:space="preserve">(1) Training</t>
  </si>
  <si>
    <t xml:space="preserve">Concern (1). Owns the question: was the fine-tuning failure a method problem, a corpus problem, or a broken adapter - and what would a correct MoE LoRA setup look like.</t>
  </si>
  <si>
    <t xml:space="preserve">R07, R08</t>
  </si>
  <si>
    <t xml:space="preserve">(2) Contamination</t>
  </si>
  <si>
    <t xml:space="preserve">Concern (2). Owns the question: how do we prove a holdout is clean, how contaminated is the 206-spec corpus, and what claims does that permit.</t>
  </si>
  <si>
    <t xml:space="preserve">R09, R10</t>
  </si>
  <si>
    <t xml:space="preserve">(1) + (2) bridge</t>
  </si>
  <si>
    <t xml:space="preserve">The bridge between (1) and (2). Owns the question: when you train against a checker, when is the model learning the task and when is it learning the checker's blind spots.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</si>
</sst>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yyyy\-mm\-dd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1F3864"/>
      <name val="Arial"/>
      <family val="0"/>
      <charset val="1"/>
    </font>
    <font>
      <sz val="11"/>
      <color rgb="FF7F7F7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C00000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b val="true"/>
      <sz val="9"/>
      <color rgb="FFBF8F00"/>
      <name val="Arial"/>
      <family val="0"/>
      <charset val="1"/>
    </font>
    <font>
      <b val="true"/>
      <sz val="9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DF2F9"/>
      </patternFill>
    </fill>
    <fill>
      <patternFill patternType="solid">
        <fgColor rgb="FFEDF2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3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DF2F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BF8F0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9C6500"/>
          <bgColor rgb="FF000000"/>
        </patternFill>
      </fill>
    </dxf>
    <dxf>
      <font>
        <name val="Arial"/>
        <charset val="1"/>
        <family val="0"/>
        <color rgb="FF006100"/>
        <sz val="9"/>
      </font>
      <fill>
        <patternFill>
          <bgColor rgb="FFC6EFCE"/>
        </patternFill>
      </fill>
    </dxf>
    <dxf>
      <font>
        <name val="Arial"/>
        <charset val="1"/>
        <family val="0"/>
        <color rgb="FF9C6500"/>
        <sz val="9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9C6500"/>
      <rgbColor rgb="FF800080"/>
      <rgbColor rgb="FF008080"/>
      <rgbColor rgb="FFBFBFBF"/>
      <rgbColor rgb="FF7F7F7F"/>
      <rgbColor rgb="FF9999FF"/>
      <rgbColor rgb="FF993366"/>
      <rgbColor rgb="FFFFF2CC"/>
      <rgbColor rgb="FFEDF2F9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arxiv.org/abs/2211.07216" TargetMode="External"/><Relationship Id="rId2" Type="http://schemas.openxmlformats.org/officeDocument/2006/relationships/hyperlink" Target="https://arxiv.org/abs/2509.23130" TargetMode="External"/><Relationship Id="rId3" Type="http://schemas.openxmlformats.org/officeDocument/2006/relationships/hyperlink" Target="https://arxiv.org/abs/2512.09758" TargetMode="External"/><Relationship Id="rId4" Type="http://schemas.openxmlformats.org/officeDocument/2006/relationships/hyperlink" Target="https://arxiv.org/abs/2606.05792" TargetMode="External"/><Relationship Id="rId5" Type="http://schemas.openxmlformats.org/officeDocument/2006/relationships/hyperlink" Target="https://arxiv.org/abs/2606.06133" TargetMode="External"/><Relationship Id="rId6" Type="http://schemas.openxmlformats.org/officeDocument/2006/relationships/hyperlink" Target="https://arxiv.org/abs/2607.23425" TargetMode="External"/><Relationship Id="rId7" Type="http://schemas.openxmlformats.org/officeDocument/2006/relationships/hyperlink" Target="https://arxiv.org/abs/2607.25333" TargetMode="External"/><Relationship Id="rId8" Type="http://schemas.openxmlformats.org/officeDocument/2006/relationships/hyperlink" Target="https://link.springer.com/chapter/10.1007/3-540-48153-2_6" TargetMode="External"/><Relationship Id="rId9" Type="http://schemas.openxmlformats.org/officeDocument/2006/relationships/hyperlink" Target="https://link.springer.com/article/10.1007/s100090100062" TargetMode="External"/><Relationship Id="rId10" Type="http://schemas.openxmlformats.org/officeDocument/2006/relationships/hyperlink" Target="https://cacm.acm.org/research/how-amazon-web-services-uses-formal-methods/" TargetMode="External"/><Relationship Id="rId11" Type="http://schemas.openxmlformats.org/officeDocument/2006/relationships/hyperlink" Target="https://dl.acm.org/doi/10.1145/3360549" TargetMode="External"/><Relationship Id="rId12" Type="http://schemas.openxmlformats.org/officeDocument/2006/relationships/hyperlink" Target="https://arxiv.org/abs/2205.06360" TargetMode="External"/><Relationship Id="rId13" Type="http://schemas.openxmlformats.org/officeDocument/2006/relationships/hyperlink" Target="https://arxiv.org/abs/2501.03073" TargetMode="External"/><Relationship Id="rId14" Type="http://schemas.openxmlformats.org/officeDocument/2006/relationships/hyperlink" Target="https://arxiv.org/abs/2602.08384" TargetMode="External"/><Relationship Id="rId15" Type="http://schemas.openxmlformats.org/officeDocument/2006/relationships/hyperlink" Target="https://arxiv.org/abs/2602.12058" TargetMode="External"/><Relationship Id="rId16" Type="http://schemas.openxmlformats.org/officeDocument/2006/relationships/hyperlink" Target="https://arxiv.org/abs/2602.23389" TargetMode="External"/><Relationship Id="rId17" Type="http://schemas.openxmlformats.org/officeDocument/2006/relationships/hyperlink" Target="https://arxiv.org/abs/2604.12172" TargetMode="External"/><Relationship Id="rId18" Type="http://schemas.openxmlformats.org/officeDocument/2006/relationships/hyperlink" Target="https://lamport.azurewebsites.net/tla/book.html" TargetMode="External"/><Relationship Id="rId19" Type="http://schemas.openxmlformats.org/officeDocument/2006/relationships/hyperlink" Target="https://arxiv.org/abs/2109.11987" TargetMode="External"/><Relationship Id="rId20" Type="http://schemas.openxmlformats.org/officeDocument/2006/relationships/hyperlink" Target="https://arxiv.org/abs/2404.18048" TargetMode="External"/><Relationship Id="rId21" Type="http://schemas.openxmlformats.org/officeDocument/2006/relationships/hyperlink" Target="https://arxiv.org/abs/2606.02019" TargetMode="External"/><Relationship Id="rId22" Type="http://schemas.openxmlformats.org/officeDocument/2006/relationships/hyperlink" Target="https://arxiv.org/abs/2410.10135" TargetMode="External"/><Relationship Id="rId23" Type="http://schemas.openxmlformats.org/officeDocument/2006/relationships/hyperlink" Target="https://arxiv.org/abs/2505.23135" TargetMode="External"/><Relationship Id="rId24" Type="http://schemas.openxmlformats.org/officeDocument/2006/relationships/hyperlink" Target="https://arxiv.org/abs/2505.23486" TargetMode="External"/><Relationship Id="rId25" Type="http://schemas.openxmlformats.org/officeDocument/2006/relationships/hyperlink" Target="https://arxiv.org/abs/2509.22908" TargetMode="External"/><Relationship Id="rId26" Type="http://schemas.openxmlformats.org/officeDocument/2006/relationships/hyperlink" Target="https://arxiv.org/abs/2511.03108" TargetMode="External"/><Relationship Id="rId27" Type="http://schemas.openxmlformats.org/officeDocument/2006/relationships/hyperlink" Target="https://arxiv.org/abs/2604.05820" TargetMode="External"/><Relationship Id="rId28" Type="http://schemas.openxmlformats.org/officeDocument/2006/relationships/hyperlink" Target="https://arxiv.org/abs/2605.26457" TargetMode="External"/><Relationship Id="rId29" Type="http://schemas.openxmlformats.org/officeDocument/2006/relationships/hyperlink" Target="https://arxiv.org/abs/2607.13303" TargetMode="External"/><Relationship Id="rId30" Type="http://schemas.openxmlformats.org/officeDocument/2006/relationships/hyperlink" Target="https://arxiv.org/abs/2306.15626" TargetMode="External"/><Relationship Id="rId31" Type="http://schemas.openxmlformats.org/officeDocument/2006/relationships/hyperlink" Target="https://arxiv.org/abs/2407.10040" TargetMode="External"/><Relationship Id="rId32" Type="http://schemas.openxmlformats.org/officeDocument/2006/relationships/hyperlink" Target="https://arxiv.org/abs/2412.06512" TargetMode="External"/><Relationship Id="rId33" Type="http://schemas.openxmlformats.org/officeDocument/2006/relationships/hyperlink" Target="https://arxiv.org/abs/2501.06283" TargetMode="External"/><Relationship Id="rId34" Type="http://schemas.openxmlformats.org/officeDocument/2006/relationships/hyperlink" Target="https://arxiv.org/abs/2508.02733" TargetMode="External"/><Relationship Id="rId35" Type="http://schemas.openxmlformats.org/officeDocument/2006/relationships/hyperlink" Target="https://arxiv.org/abs/2508.04440" TargetMode="External"/><Relationship Id="rId36" Type="http://schemas.openxmlformats.org/officeDocument/2006/relationships/hyperlink" Target="https://arxiv.org/abs/2509.25197" TargetMode="External"/><Relationship Id="rId37" Type="http://schemas.openxmlformats.org/officeDocument/2006/relationships/hyperlink" Target="https://arxiv.org/abs/2512.10173" TargetMode="External"/><Relationship Id="rId38" Type="http://schemas.openxmlformats.org/officeDocument/2006/relationships/hyperlink" Target="https://arxiv.org/abs/2602.11481" TargetMode="External"/><Relationship Id="rId39" Type="http://schemas.openxmlformats.org/officeDocument/2006/relationships/hyperlink" Target="https://arxiv.org/abs/2602.18307" TargetMode="External"/><Relationship Id="rId40" Type="http://schemas.openxmlformats.org/officeDocument/2006/relationships/hyperlink" Target="https://arxiv.org/abs/2605.30914" TargetMode="External"/><Relationship Id="rId41" Type="http://schemas.openxmlformats.org/officeDocument/2006/relationships/hyperlink" Target="https://arxiv.org/abs/2607.13292" TargetMode="External"/><Relationship Id="rId42" Type="http://schemas.openxmlformats.org/officeDocument/2006/relationships/hyperlink" Target="https://arxiv.org/abs/2502.00963" TargetMode="External"/><Relationship Id="rId43" Type="http://schemas.openxmlformats.org/officeDocument/2006/relationships/hyperlink" Target="https://arxiv.org/abs/2505.03171" TargetMode="External"/><Relationship Id="rId44" Type="http://schemas.openxmlformats.org/officeDocument/2006/relationships/hyperlink" Target="https://arxiv.org/abs/2507.08665" TargetMode="External"/><Relationship Id="rId45" Type="http://schemas.openxmlformats.org/officeDocument/2006/relationships/hyperlink" Target="https://arxiv.org/abs/2508.15878" TargetMode="External"/><Relationship Id="rId46" Type="http://schemas.openxmlformats.org/officeDocument/2006/relationships/hyperlink" Target="https://arxiv.org/abs/2511.11816" TargetMode="External"/><Relationship Id="rId47" Type="http://schemas.openxmlformats.org/officeDocument/2006/relationships/hyperlink" Target="https://arxiv.org/abs/2606.12594" TargetMode="External"/><Relationship Id="rId48" Type="http://schemas.openxmlformats.org/officeDocument/2006/relationships/hyperlink" Target="https://arxiv.org/abs/2606.19315" TargetMode="External"/><Relationship Id="rId49" Type="http://schemas.openxmlformats.org/officeDocument/2006/relationships/hyperlink" Target="https://arxiv.org/abs/2106.09685" TargetMode="External"/><Relationship Id="rId50" Type="http://schemas.openxmlformats.org/officeDocument/2006/relationships/hyperlink" Target="https://arxiv.org/abs/2405.09673" TargetMode="External"/><Relationship Id="rId51" Type="http://schemas.openxmlformats.org/officeDocument/2006/relationships/hyperlink" Target="https://arxiv.org/abs/2509.07430" TargetMode="External"/><Relationship Id="rId52" Type="http://schemas.openxmlformats.org/officeDocument/2006/relationships/hyperlink" Target="https://arxiv.org/abs/2510.01631" TargetMode="External"/><Relationship Id="rId53" Type="http://schemas.openxmlformats.org/officeDocument/2006/relationships/hyperlink" Target="https://arxiv.org/abs/2601.04823" TargetMode="External"/><Relationship Id="rId54" Type="http://schemas.openxmlformats.org/officeDocument/2006/relationships/hyperlink" Target="https://arxiv.org/abs/2604.16027" TargetMode="External"/><Relationship Id="rId55" Type="http://schemas.openxmlformats.org/officeDocument/2006/relationships/hyperlink" Target="https://arxiv.org/abs/2607.21978" TargetMode="External"/><Relationship Id="rId56" Type="http://schemas.openxmlformats.org/officeDocument/2006/relationships/hyperlink" Target="https://arxiv.org/abs/2203.02155" TargetMode="External"/><Relationship Id="rId57" Type="http://schemas.openxmlformats.org/officeDocument/2006/relationships/hyperlink" Target="https://arxiv.org/abs/2404.15159" TargetMode="External"/><Relationship Id="rId58" Type="http://schemas.openxmlformats.org/officeDocument/2006/relationships/hyperlink" Target="https://arxiv.org/abs/2409.12993" TargetMode="External"/><Relationship Id="rId59" Type="http://schemas.openxmlformats.org/officeDocument/2006/relationships/hyperlink" Target="https://arxiv.org/abs/2503.14023" TargetMode="External"/><Relationship Id="rId60" Type="http://schemas.openxmlformats.org/officeDocument/2006/relationships/hyperlink" Target="https://arxiv.org/abs/2510.23208" TargetMode="External"/><Relationship Id="rId61" Type="http://schemas.openxmlformats.org/officeDocument/2006/relationships/hyperlink" Target="https://arxiv.org/abs/2512.17720" TargetMode="External"/><Relationship Id="rId62" Type="http://schemas.openxmlformats.org/officeDocument/2006/relationships/hyperlink" Target="https://arxiv.org/abs/2602.07464" TargetMode="External"/><Relationship Id="rId63" Type="http://schemas.openxmlformats.org/officeDocument/2006/relationships/hyperlink" Target="https://arxiv.org/abs/2603.02224" TargetMode="External"/><Relationship Id="rId64" Type="http://schemas.openxmlformats.org/officeDocument/2006/relationships/hyperlink" Target="https://arxiv.org/abs/2604.26340" TargetMode="External"/><Relationship Id="rId65" Type="http://schemas.openxmlformats.org/officeDocument/2006/relationships/hyperlink" Target="https://arxiv.org/abs/2605.00365" TargetMode="External"/><Relationship Id="rId66" Type="http://schemas.openxmlformats.org/officeDocument/2006/relationships/hyperlink" Target="https://arxiv.org/abs/2607.04733" TargetMode="External"/><Relationship Id="rId67" Type="http://schemas.openxmlformats.org/officeDocument/2006/relationships/hyperlink" Target="https://arxiv.org/abs/2402.12220" TargetMode="External"/><Relationship Id="rId68" Type="http://schemas.openxmlformats.org/officeDocument/2006/relationships/hyperlink" Target="https://arxiv.org/abs/2402.15415" TargetMode="External"/><Relationship Id="rId69" Type="http://schemas.openxmlformats.org/officeDocument/2006/relationships/hyperlink" Target="https://arxiv.org/abs/2410.01720" TargetMode="External"/><Relationship Id="rId70" Type="http://schemas.openxmlformats.org/officeDocument/2006/relationships/hyperlink" Target="https://arxiv.org/abs/2412.16216" TargetMode="External"/><Relationship Id="rId71" Type="http://schemas.openxmlformats.org/officeDocument/2006/relationships/hyperlink" Target="https://arxiv.org/abs/2502.15828" TargetMode="External"/><Relationship Id="rId72" Type="http://schemas.openxmlformats.org/officeDocument/2006/relationships/hyperlink" Target="https://arxiv.org/abs/2504.21190" TargetMode="External"/><Relationship Id="rId73" Type="http://schemas.openxmlformats.org/officeDocument/2006/relationships/hyperlink" Target="https://arxiv.org/abs/2507.00029" TargetMode="External"/><Relationship Id="rId74" Type="http://schemas.openxmlformats.org/officeDocument/2006/relationships/hyperlink" Target="https://arxiv.org/abs/2510.13003" TargetMode="External"/><Relationship Id="rId75" Type="http://schemas.openxmlformats.org/officeDocument/2006/relationships/hyperlink" Target="https://arxiv.org/abs/2601.12401" TargetMode="External"/><Relationship Id="rId76" Type="http://schemas.openxmlformats.org/officeDocument/2006/relationships/hyperlink" Target="https://arxiv.org/abs/2603.12577" TargetMode="External"/><Relationship Id="rId77" Type="http://schemas.openxmlformats.org/officeDocument/2006/relationships/hyperlink" Target="https://arxiv.org/abs/2603.23562" TargetMode="External"/><Relationship Id="rId78" Type="http://schemas.openxmlformats.org/officeDocument/2006/relationships/hyperlink" Target="https://arxiv.org/abs/2202.07646" TargetMode="External"/><Relationship Id="rId79" Type="http://schemas.openxmlformats.org/officeDocument/2006/relationships/hyperlink" Target="https://arxiv.org/abs/2310.16789" TargetMode="External"/><Relationship Id="rId80" Type="http://schemas.openxmlformats.org/officeDocument/2006/relationships/hyperlink" Target="https://arxiv.org/abs/2311.04850" TargetMode="External"/><Relationship Id="rId81" Type="http://schemas.openxmlformats.org/officeDocument/2006/relationships/hyperlink" Target="https://arxiv.org/abs/2403.04811" TargetMode="External"/><Relationship Id="rId82" Type="http://schemas.openxmlformats.org/officeDocument/2006/relationships/hyperlink" Target="https://arxiv.org/abs/2403.07974" TargetMode="External"/><Relationship Id="rId83" Type="http://schemas.openxmlformats.org/officeDocument/2006/relationships/hyperlink" Target="https://arxiv.org/abs/2502.06215" TargetMode="External"/><Relationship Id="rId84" Type="http://schemas.openxmlformats.org/officeDocument/2006/relationships/hyperlink" Target="https://arxiv.org/abs/2502.14425" TargetMode="External"/><Relationship Id="rId85" Type="http://schemas.openxmlformats.org/officeDocument/2006/relationships/hyperlink" Target="https://arxiv.org/abs/2505.20411" TargetMode="External"/><Relationship Id="rId86" Type="http://schemas.openxmlformats.org/officeDocument/2006/relationships/hyperlink" Target="https://arxiv.org/abs/2512.10218" TargetMode="External"/><Relationship Id="rId87" Type="http://schemas.openxmlformats.org/officeDocument/2006/relationships/hyperlink" Target="https://arxiv.org/abs/2605.19999" TargetMode="External"/><Relationship Id="rId88" Type="http://schemas.openxmlformats.org/officeDocument/2006/relationships/hyperlink" Target="https://arxiv.org/abs/2605.24079" TargetMode="External"/><Relationship Id="rId89" Type="http://schemas.openxmlformats.org/officeDocument/2006/relationships/hyperlink" Target="https://arxiv.org/abs/2308.08493" TargetMode="External"/><Relationship Id="rId90" Type="http://schemas.openxmlformats.org/officeDocument/2006/relationships/hyperlink" Target="https://arxiv.org/abs/2311.09783" TargetMode="External"/><Relationship Id="rId91" Type="http://schemas.openxmlformats.org/officeDocument/2006/relationships/hyperlink" Target="https://arxiv.org/abs/2312.16337" TargetMode="External"/><Relationship Id="rId92" Type="http://schemas.openxmlformats.org/officeDocument/2006/relationships/hyperlink" Target="https://arxiv.org/abs/2404.02936" TargetMode="External"/><Relationship Id="rId93" Type="http://schemas.openxmlformats.org/officeDocument/2006/relationships/hyperlink" Target="https://arxiv.org/abs/2404.18824" TargetMode="External"/><Relationship Id="rId94" Type="http://schemas.openxmlformats.org/officeDocument/2006/relationships/hyperlink" Target="https://arxiv.org/abs/2406.06443" TargetMode="External"/><Relationship Id="rId95" Type="http://schemas.openxmlformats.org/officeDocument/2006/relationships/hyperlink" Target="https://arxiv.org/abs/2406.13990" TargetMode="External"/><Relationship Id="rId96" Type="http://schemas.openxmlformats.org/officeDocument/2006/relationships/hyperlink" Target="https://arxiv.org/abs/2502.00678" TargetMode="External"/><Relationship Id="rId97" Type="http://schemas.openxmlformats.org/officeDocument/2006/relationships/hyperlink" Target="https://arxiv.org/abs/2507.11059" TargetMode="External"/><Relationship Id="rId98" Type="http://schemas.openxmlformats.org/officeDocument/2006/relationships/hyperlink" Target="https://arxiv.org/abs/2510.27055" TargetMode="External"/><Relationship Id="rId99" Type="http://schemas.openxmlformats.org/officeDocument/2006/relationships/hyperlink" Target="https://arxiv.org/abs/2601.19334" TargetMode="External"/><Relationship Id="rId100" Type="http://schemas.openxmlformats.org/officeDocument/2006/relationships/hyperlink" Target="https://arxiv.org/abs/2504.13416" TargetMode="External"/><Relationship Id="rId101" Type="http://schemas.openxmlformats.org/officeDocument/2006/relationships/hyperlink" Target="https://arxiv.org/abs/2506.14474" TargetMode="External"/><Relationship Id="rId102" Type="http://schemas.openxmlformats.org/officeDocument/2006/relationships/hyperlink" Target="https://arxiv.org/abs/2506.15271" TargetMode="External"/><Relationship Id="rId103" Type="http://schemas.openxmlformats.org/officeDocument/2006/relationships/hyperlink" Target="https://arxiv.org/abs/2506.17208" TargetMode="External"/><Relationship Id="rId104" Type="http://schemas.openxmlformats.org/officeDocument/2006/relationships/hyperlink" Target="https://arxiv.org/abs/2508.07054" TargetMode="External"/><Relationship Id="rId105" Type="http://schemas.openxmlformats.org/officeDocument/2006/relationships/hyperlink" Target="https://arxiv.org/abs/2509.05449" TargetMode="External"/><Relationship Id="rId106" Type="http://schemas.openxmlformats.org/officeDocument/2006/relationships/hyperlink" Target="https://arxiv.org/abs/2107.03374" TargetMode="External"/><Relationship Id="rId107" Type="http://schemas.openxmlformats.org/officeDocument/2006/relationships/hyperlink" Target="https://arxiv.org/abs/2203.14465" TargetMode="External"/><Relationship Id="rId108" Type="http://schemas.openxmlformats.org/officeDocument/2006/relationships/hyperlink" Target="https://arxiv.org/abs/2305.18290" TargetMode="External"/><Relationship Id="rId109" Type="http://schemas.openxmlformats.org/officeDocument/2006/relationships/hyperlink" Target="https://arxiv.org/abs/2306.09896" TargetMode="External"/><Relationship Id="rId110" Type="http://schemas.openxmlformats.org/officeDocument/2006/relationships/hyperlink" Target="https://arxiv.org/abs/2308.01825" TargetMode="External"/><Relationship Id="rId111" Type="http://schemas.openxmlformats.org/officeDocument/2006/relationships/hyperlink" Target="https://arxiv.org/abs/2402.03300" TargetMode="External"/><Relationship Id="rId112" Type="http://schemas.openxmlformats.org/officeDocument/2006/relationships/hyperlink" Target="https://arxiv.org/abs/2410.02089" TargetMode="External"/><Relationship Id="rId113" Type="http://schemas.openxmlformats.org/officeDocument/2006/relationships/hyperlink" Target="https://arxiv.org/abs/2504.11343" TargetMode="External"/><Relationship Id="rId114" Type="http://schemas.openxmlformats.org/officeDocument/2006/relationships/hyperlink" Target="https://arxiv.org/abs/2510.00915" TargetMode="External"/><Relationship Id="rId115" Type="http://schemas.openxmlformats.org/officeDocument/2006/relationships/hyperlink" Target="https://arxiv.org/abs/2604.15149" TargetMode="External"/><Relationship Id="rId116" Type="http://schemas.openxmlformats.org/officeDocument/2006/relationships/hyperlink" Target="https://arxiv.org/abs/2606.01066" TargetMode="External"/><Relationship Id="rId117" Type="http://schemas.openxmlformats.org/officeDocument/2006/relationships/hyperlink" Target="https://arxiv.org/abs/2303.17651" TargetMode="External"/><Relationship Id="rId118" Type="http://schemas.openxmlformats.org/officeDocument/2006/relationships/hyperlink" Target="https://arxiv.org/abs/2505.02931" TargetMode="External"/><Relationship Id="rId119" Type="http://schemas.openxmlformats.org/officeDocument/2006/relationships/hyperlink" Target="https://arxiv.org/abs/2508.00083" TargetMode="External"/><Relationship Id="rId120" Type="http://schemas.openxmlformats.org/officeDocument/2006/relationships/hyperlink" Target="https://arxiv.org/abs/2603.24202" TargetMode="External"/><Relationship Id="rId121" Type="http://schemas.openxmlformats.org/officeDocument/2006/relationships/hyperlink" Target="https://arxiv.org/abs/2605.31058" TargetMode="External"/><Relationship Id="rId122" Type="http://schemas.openxmlformats.org/officeDocument/2006/relationships/hyperlink" Target="https://arxiv.org/abs/2402.00658" TargetMode="External"/><Relationship Id="rId123" Type="http://schemas.openxmlformats.org/officeDocument/2006/relationships/hyperlink" Target="https://arxiv.org/abs/2405.17057" TargetMode="External"/><Relationship Id="rId124" Type="http://schemas.openxmlformats.org/officeDocument/2006/relationships/hyperlink" Target="https://arxiv.org/abs/2606.06260" TargetMode="External"/><Relationship Id="rId125" Type="http://schemas.openxmlformats.org/officeDocument/2006/relationships/hyperlink" Target="https://arxiv.org/abs/2607.05810" TargetMode="External"/><Relationship Id="rId126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18"/>
  </cols>
  <sheetData>
    <row r="1" customFormat="false" ht="25.5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9.5" hidden="false" customHeight="tru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/>
    </row>
    <row r="13" customFormat="false" ht="19.5" hidden="false" customHeight="true" outlineLevel="0" collapsed="false">
      <c r="A13" s="4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3"/>
    </row>
    <row r="21" customFormat="false" ht="19.5" hidden="false" customHeight="true" outlineLevel="0" collapsed="false">
      <c r="A21" s="4" t="s">
        <v>16</v>
      </c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3" t="s">
        <v>18</v>
      </c>
    </row>
    <row r="24" customFormat="false" ht="1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3"/>
    </row>
    <row r="26" customFormat="false" ht="19.5" hidden="false" customHeight="true" outlineLevel="0" collapsed="false">
      <c r="A26" s="4" t="s">
        <v>20</v>
      </c>
    </row>
    <row r="27" customFormat="false" ht="15" hidden="false" customHeight="false" outlineLevel="0" collapsed="false">
      <c r="A27" s="3" t="s">
        <v>21</v>
      </c>
    </row>
    <row r="28" customFormat="false" ht="15" hidden="false" customHeight="false" outlineLevel="0" collapsed="false">
      <c r="A28" s="5" t="s">
        <v>22</v>
      </c>
    </row>
    <row r="29" customFormat="false" ht="15" hidden="false" customHeight="false" outlineLevel="0" collapsed="false">
      <c r="A29" s="3" t="s">
        <v>23</v>
      </c>
    </row>
    <row r="30" customFormat="false" ht="15" hidden="false" customHeight="false" outlineLevel="0" collapsed="false">
      <c r="A30" s="5" t="s">
        <v>24</v>
      </c>
    </row>
    <row r="31" customFormat="false" ht="15" hidden="false" customHeight="false" outlineLevel="0" collapsed="false">
      <c r="A31" s="3" t="s">
        <v>25</v>
      </c>
    </row>
    <row r="32" customFormat="false" ht="15" hidden="false" customHeight="false" outlineLevel="0" collapsed="false">
      <c r="A32" s="5" t="s">
        <v>26</v>
      </c>
    </row>
    <row r="33" customFormat="false" ht="15" hidden="false" customHeight="false" outlineLevel="0" collapsed="false">
      <c r="A33" s="3" t="s">
        <v>27</v>
      </c>
    </row>
    <row r="34" customFormat="false" ht="15" hidden="false" customHeight="false" outlineLevel="0" collapsed="false">
      <c r="A34" s="5" t="s">
        <v>28</v>
      </c>
    </row>
    <row r="35" customFormat="false" ht="15" hidden="false" customHeight="false" outlineLevel="0" collapsed="false">
      <c r="A35" s="3" t="s">
        <v>29</v>
      </c>
    </row>
    <row r="36" customFormat="false" ht="15" hidden="false" customHeight="false" outlineLevel="0" collapsed="false">
      <c r="A36" s="5" t="s">
        <v>30</v>
      </c>
    </row>
    <row r="37" customFormat="false" ht="15" hidden="false" customHeight="false" outlineLevel="0" collapsed="false">
      <c r="A37" s="3"/>
    </row>
    <row r="38" customFormat="false" ht="19.5" hidden="false" customHeight="true" outlineLevel="0" collapsed="false">
      <c r="A38" s="4" t="s">
        <v>31</v>
      </c>
    </row>
    <row r="39" customFormat="false" ht="15" hidden="false" customHeight="false" outlineLevel="0" collapsed="false">
      <c r="A39" s="3" t="s">
        <v>32</v>
      </c>
    </row>
    <row r="40" customFormat="false" ht="15" hidden="false" customHeight="false" outlineLevel="0" collapsed="false">
      <c r="A40" s="3" t="s">
        <v>33</v>
      </c>
    </row>
    <row r="41" customFormat="false" ht="15" hidden="false" customHeight="false" outlineLevel="0" collapsed="false">
      <c r="A41" s="3" t="s">
        <v>34</v>
      </c>
    </row>
    <row r="42" customFormat="false" ht="15" hidden="false" customHeight="false" outlineLevel="0" collapsed="false">
      <c r="A42" s="3"/>
    </row>
    <row r="43" customFormat="false" ht="15" hidden="false" customHeight="false" outlineLevel="0" collapsed="false">
      <c r="A43" s="5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46"/>
    <col collapsed="false" customWidth="true" hidden="false" outlineLevel="0" max="5" min="5" style="0" width="9"/>
    <col collapsed="false" customWidth="true" hidden="false" outlineLevel="0" max="8" min="6" style="0" width="7"/>
    <col collapsed="false" customWidth="true" hidden="false" outlineLevel="0" max="9" min="9" style="0" width="8"/>
    <col collapsed="false" customWidth="true" hidden="false" outlineLevel="0" max="10" min="10" style="0" width="9"/>
  </cols>
  <sheetData>
    <row r="1" customFormat="false" ht="17.35" hidden="false" customHeight="false" outlineLevel="0" collapsed="false">
      <c r="A1" s="6" t="s">
        <v>36</v>
      </c>
    </row>
    <row r="2" customFormat="false" ht="25.5" hidden="false" customHeight="true" outlineLevel="0" collapsed="false">
      <c r="A2" s="7" t="s">
        <v>37</v>
      </c>
      <c r="B2" s="7"/>
      <c r="C2" s="7"/>
      <c r="D2" s="7"/>
      <c r="E2" s="7"/>
      <c r="F2" s="7"/>
      <c r="G2" s="7"/>
      <c r="H2" s="7"/>
      <c r="I2" s="7"/>
    </row>
    <row r="4" customFormat="false" ht="30" hidden="false" customHeight="true" outlineLevel="0" collapsed="false">
      <c r="A4" s="8" t="s">
        <v>38</v>
      </c>
      <c r="B4" s="8" t="s">
        <v>39</v>
      </c>
      <c r="C4" s="8" t="s">
        <v>40</v>
      </c>
      <c r="D4" s="8" t="s">
        <v>41</v>
      </c>
      <c r="E4" s="8" t="s">
        <v>42</v>
      </c>
      <c r="F4" s="8" t="s">
        <v>43</v>
      </c>
      <c r="G4" s="8" t="s">
        <v>44</v>
      </c>
      <c r="H4" s="8" t="s">
        <v>45</v>
      </c>
      <c r="I4" s="8" t="s">
        <v>46</v>
      </c>
      <c r="J4" s="8" t="s">
        <v>47</v>
      </c>
    </row>
    <row r="5" customFormat="false" ht="15" hidden="false" customHeight="false" outlineLevel="0" collapsed="false">
      <c r="A5" s="9" t="s">
        <v>48</v>
      </c>
      <c r="B5" s="10" t="s">
        <v>49</v>
      </c>
      <c r="C5" s="9" t="s">
        <v>50</v>
      </c>
      <c r="D5" s="11" t="s">
        <v>51</v>
      </c>
      <c r="E5" s="9" t="n">
        <f aca="false">COUNTIF(Papers!$D:$D,$A5)</f>
        <v>11</v>
      </c>
      <c r="F5" s="9" t="n">
        <f aca="false">COUNTIFS(Papers!$D:$D,$A5,Papers!$C:$C,1)</f>
        <v>4</v>
      </c>
      <c r="G5" s="9" t="n">
        <f aca="false">COUNTIFS(Papers!$D:$D,$A5,Papers!$C:$C,2)</f>
        <v>5</v>
      </c>
      <c r="H5" s="9" t="n">
        <f aca="false">COUNTIFS(Papers!$D:$D,$A5,Papers!$C:$C,3)</f>
        <v>2</v>
      </c>
      <c r="I5" s="9" t="n">
        <f aca="false">COUNTIFS(Papers!$D:$D,$A5,Papers!$Q:$Q,"Done")</f>
        <v>0</v>
      </c>
      <c r="J5" s="12" t="n">
        <f aca="false">IFERROR($I5/$E5,0)</f>
        <v>0</v>
      </c>
    </row>
    <row r="6" customFormat="false" ht="15" hidden="false" customHeight="false" outlineLevel="0" collapsed="false">
      <c r="A6" s="9" t="s">
        <v>52</v>
      </c>
      <c r="B6" s="10" t="s">
        <v>53</v>
      </c>
      <c r="C6" s="9" t="s">
        <v>50</v>
      </c>
      <c r="D6" s="11" t="s">
        <v>51</v>
      </c>
      <c r="E6" s="9" t="n">
        <f aca="false">COUNTIF(Papers!$D:$D,$A6)</f>
        <v>10</v>
      </c>
      <c r="F6" s="9" t="n">
        <f aca="false">COUNTIFS(Papers!$D:$D,$A6,Papers!$C:$C,1)</f>
        <v>3</v>
      </c>
      <c r="G6" s="9" t="n">
        <f aca="false">COUNTIFS(Papers!$D:$D,$A6,Papers!$C:$C,2)</f>
        <v>5</v>
      </c>
      <c r="H6" s="9" t="n">
        <f aca="false">COUNTIFS(Papers!$D:$D,$A6,Papers!$C:$C,3)</f>
        <v>2</v>
      </c>
      <c r="I6" s="9" t="n">
        <f aca="false">COUNTIFS(Papers!$D:$D,$A6,Papers!$Q:$Q,"Done")</f>
        <v>0</v>
      </c>
      <c r="J6" s="12" t="n">
        <f aca="false">IFERROR($I6/$E6,0)</f>
        <v>0</v>
      </c>
    </row>
    <row r="7" customFormat="false" ht="15" hidden="false" customHeight="false" outlineLevel="0" collapsed="false">
      <c r="A7" s="9" t="s">
        <v>54</v>
      </c>
      <c r="B7" s="10" t="s">
        <v>55</v>
      </c>
      <c r="C7" s="9" t="s">
        <v>56</v>
      </c>
      <c r="D7" s="11" t="s">
        <v>57</v>
      </c>
      <c r="E7" s="9" t="n">
        <f aca="false">COUNTIF(Papers!$D:$D,$A7)</f>
        <v>14</v>
      </c>
      <c r="F7" s="9" t="n">
        <f aca="false">COUNTIFS(Papers!$D:$D,$A7,Papers!$C:$C,1)</f>
        <v>4</v>
      </c>
      <c r="G7" s="9" t="n">
        <f aca="false">COUNTIFS(Papers!$D:$D,$A7,Papers!$C:$C,2)</f>
        <v>6</v>
      </c>
      <c r="H7" s="9" t="n">
        <f aca="false">COUNTIFS(Papers!$D:$D,$A7,Papers!$C:$C,3)</f>
        <v>4</v>
      </c>
      <c r="I7" s="9" t="n">
        <f aca="false">COUNTIFS(Papers!$D:$D,$A7,Papers!$Q:$Q,"Done")</f>
        <v>0</v>
      </c>
      <c r="J7" s="12" t="n">
        <f aca="false">IFERROR($I7/$E7,0)</f>
        <v>0</v>
      </c>
    </row>
    <row r="8" customFormat="false" ht="15" hidden="false" customHeight="false" outlineLevel="0" collapsed="false">
      <c r="A8" s="9" t="s">
        <v>58</v>
      </c>
      <c r="B8" s="10" t="s">
        <v>59</v>
      </c>
      <c r="C8" s="9" t="s">
        <v>56</v>
      </c>
      <c r="D8" s="11" t="s">
        <v>57</v>
      </c>
      <c r="E8" s="9" t="n">
        <f aca="false">COUNTIF(Papers!$D:$D,$A8)</f>
        <v>13</v>
      </c>
      <c r="F8" s="9" t="n">
        <f aca="false">COUNTIFS(Papers!$D:$D,$A8,Papers!$C:$C,1)</f>
        <v>4</v>
      </c>
      <c r="G8" s="9" t="n">
        <f aca="false">COUNTIFS(Papers!$D:$D,$A8,Papers!$C:$C,2)</f>
        <v>6</v>
      </c>
      <c r="H8" s="9" t="n">
        <f aca="false">COUNTIFS(Papers!$D:$D,$A8,Papers!$C:$C,3)</f>
        <v>3</v>
      </c>
      <c r="I8" s="9" t="n">
        <f aca="false">COUNTIFS(Papers!$D:$D,$A8,Papers!$Q:$Q,"Done")</f>
        <v>0</v>
      </c>
      <c r="J8" s="12" t="n">
        <f aca="false">IFERROR($I8/$E8,0)</f>
        <v>0</v>
      </c>
    </row>
    <row r="9" customFormat="false" ht="15" hidden="false" customHeight="false" outlineLevel="0" collapsed="false">
      <c r="A9" s="9" t="s">
        <v>60</v>
      </c>
      <c r="B9" s="10" t="s">
        <v>61</v>
      </c>
      <c r="C9" s="9" t="s">
        <v>62</v>
      </c>
      <c r="D9" s="11" t="s">
        <v>63</v>
      </c>
      <c r="E9" s="9" t="n">
        <f aca="false">COUNTIF(Papers!$D:$D,$A9)</f>
        <v>15</v>
      </c>
      <c r="F9" s="9" t="n">
        <f aca="false">COUNTIFS(Papers!$D:$D,$A9,Papers!$C:$C,1)</f>
        <v>4</v>
      </c>
      <c r="G9" s="9" t="n">
        <f aca="false">COUNTIFS(Papers!$D:$D,$A9,Papers!$C:$C,2)</f>
        <v>5</v>
      </c>
      <c r="H9" s="9" t="n">
        <f aca="false">COUNTIFS(Papers!$D:$D,$A9,Papers!$C:$C,3)</f>
        <v>6</v>
      </c>
      <c r="I9" s="9" t="n">
        <f aca="false">COUNTIFS(Papers!$D:$D,$A9,Papers!$Q:$Q,"Done")</f>
        <v>0</v>
      </c>
      <c r="J9" s="12" t="n">
        <f aca="false">IFERROR($I9/$E9,0)</f>
        <v>0</v>
      </c>
    </row>
    <row r="10" customFormat="false" ht="15" hidden="false" customHeight="false" outlineLevel="0" collapsed="false">
      <c r="A10" s="9" t="s">
        <v>64</v>
      </c>
      <c r="B10" s="10" t="s">
        <v>65</v>
      </c>
      <c r="C10" s="9" t="s">
        <v>62</v>
      </c>
      <c r="D10" s="11" t="s">
        <v>63</v>
      </c>
      <c r="E10" s="9" t="n">
        <f aca="false">COUNTIF(Papers!$D:$D,$A10)</f>
        <v>14</v>
      </c>
      <c r="F10" s="9" t="n">
        <f aca="false">COUNTIFS(Papers!$D:$D,$A10,Papers!$C:$C,1)</f>
        <v>3</v>
      </c>
      <c r="G10" s="9" t="n">
        <f aca="false">COUNTIFS(Papers!$D:$D,$A10,Papers!$C:$C,2)</f>
        <v>6</v>
      </c>
      <c r="H10" s="9" t="n">
        <f aca="false">COUNTIFS(Papers!$D:$D,$A10,Papers!$C:$C,3)</f>
        <v>5</v>
      </c>
      <c r="I10" s="9" t="n">
        <f aca="false">COUNTIFS(Papers!$D:$D,$A10,Papers!$Q:$Q,"Done")</f>
        <v>0</v>
      </c>
      <c r="J10" s="12" t="n">
        <f aca="false">IFERROR($I10/$E10,0)</f>
        <v>0</v>
      </c>
    </row>
    <row r="11" customFormat="false" ht="15" hidden="false" customHeight="false" outlineLevel="0" collapsed="false">
      <c r="A11" s="9" t="s">
        <v>66</v>
      </c>
      <c r="B11" s="10" t="s">
        <v>67</v>
      </c>
      <c r="C11" s="9" t="s">
        <v>68</v>
      </c>
      <c r="D11" s="11" t="s">
        <v>69</v>
      </c>
      <c r="E11" s="9" t="n">
        <f aca="false">COUNTIF(Papers!$D:$D,$A11)</f>
        <v>14</v>
      </c>
      <c r="F11" s="9" t="n">
        <f aca="false">COUNTIFS(Papers!$D:$D,$A11,Papers!$C:$C,1)</f>
        <v>6</v>
      </c>
      <c r="G11" s="9" t="n">
        <f aca="false">COUNTIFS(Papers!$D:$D,$A11,Papers!$C:$C,2)</f>
        <v>5</v>
      </c>
      <c r="H11" s="9" t="n">
        <f aca="false">COUNTIFS(Papers!$D:$D,$A11,Papers!$C:$C,3)</f>
        <v>3</v>
      </c>
      <c r="I11" s="9" t="n">
        <f aca="false">COUNTIFS(Papers!$D:$D,$A11,Papers!$Q:$Q,"Done")</f>
        <v>0</v>
      </c>
      <c r="J11" s="12" t="n">
        <f aca="false">IFERROR($I11/$E11,0)</f>
        <v>0</v>
      </c>
    </row>
    <row r="12" customFormat="false" ht="15" hidden="false" customHeight="false" outlineLevel="0" collapsed="false">
      <c r="A12" s="9" t="s">
        <v>70</v>
      </c>
      <c r="B12" s="10" t="s">
        <v>71</v>
      </c>
      <c r="C12" s="9" t="s">
        <v>68</v>
      </c>
      <c r="D12" s="11" t="s">
        <v>69</v>
      </c>
      <c r="E12" s="9" t="n">
        <f aca="false">COUNTIF(Papers!$D:$D,$A12)</f>
        <v>14</v>
      </c>
      <c r="F12" s="9" t="n">
        <f aca="false">COUNTIFS(Papers!$D:$D,$A12,Papers!$C:$C,1)</f>
        <v>5</v>
      </c>
      <c r="G12" s="9" t="n">
        <f aca="false">COUNTIFS(Papers!$D:$D,$A12,Papers!$C:$C,2)</f>
        <v>6</v>
      </c>
      <c r="H12" s="9" t="n">
        <f aca="false">COUNTIFS(Papers!$D:$D,$A12,Papers!$C:$C,3)</f>
        <v>3</v>
      </c>
      <c r="I12" s="9" t="n">
        <f aca="false">COUNTIFS(Papers!$D:$D,$A12,Papers!$Q:$Q,"Done")</f>
        <v>0</v>
      </c>
      <c r="J12" s="12" t="n">
        <f aca="false">IFERROR($I12/$E12,0)</f>
        <v>0</v>
      </c>
    </row>
    <row r="13" customFormat="false" ht="15" hidden="false" customHeight="false" outlineLevel="0" collapsed="false">
      <c r="A13" s="9" t="s">
        <v>72</v>
      </c>
      <c r="B13" s="10" t="s">
        <v>73</v>
      </c>
      <c r="C13" s="9" t="s">
        <v>74</v>
      </c>
      <c r="D13" s="11" t="s">
        <v>75</v>
      </c>
      <c r="E13" s="9" t="n">
        <f aca="false">COUNTIF(Papers!$D:$D,$A13)</f>
        <v>10</v>
      </c>
      <c r="F13" s="9" t="n">
        <f aca="false">COUNTIFS(Papers!$D:$D,$A13,Papers!$C:$C,1)</f>
        <v>6</v>
      </c>
      <c r="G13" s="9" t="n">
        <f aca="false">COUNTIFS(Papers!$D:$D,$A13,Papers!$C:$C,2)</f>
        <v>2</v>
      </c>
      <c r="H13" s="9" t="n">
        <f aca="false">COUNTIFS(Papers!$D:$D,$A13,Papers!$C:$C,3)</f>
        <v>2</v>
      </c>
      <c r="I13" s="9" t="n">
        <f aca="false">COUNTIFS(Papers!$D:$D,$A13,Papers!$Q:$Q,"Done")</f>
        <v>0</v>
      </c>
      <c r="J13" s="12" t="n">
        <f aca="false">IFERROR($I13/$E13,0)</f>
        <v>0</v>
      </c>
    </row>
    <row r="14" customFormat="false" ht="15" hidden="false" customHeight="false" outlineLevel="0" collapsed="false">
      <c r="A14" s="9" t="s">
        <v>76</v>
      </c>
      <c r="B14" s="10" t="s">
        <v>77</v>
      </c>
      <c r="C14" s="9" t="s">
        <v>74</v>
      </c>
      <c r="D14" s="11" t="s">
        <v>75</v>
      </c>
      <c r="E14" s="9" t="n">
        <f aca="false">COUNTIF(Papers!$D:$D,$A14)</f>
        <v>10</v>
      </c>
      <c r="F14" s="9" t="n">
        <f aca="false">COUNTIFS(Papers!$D:$D,$A14,Papers!$C:$C,1)</f>
        <v>5</v>
      </c>
      <c r="G14" s="9" t="n">
        <f aca="false">COUNTIFS(Papers!$D:$D,$A14,Papers!$C:$C,2)</f>
        <v>3</v>
      </c>
      <c r="H14" s="9" t="n">
        <f aca="false">COUNTIFS(Papers!$D:$D,$A14,Papers!$C:$C,3)</f>
        <v>2</v>
      </c>
      <c r="I14" s="9" t="n">
        <f aca="false">COUNTIFS(Papers!$D:$D,$A14,Papers!$Q:$Q,"Done")</f>
        <v>0</v>
      </c>
      <c r="J14" s="12" t="n">
        <f aca="false">IFERROR($I14/$E14,0)</f>
        <v>0</v>
      </c>
    </row>
    <row r="15" customFormat="false" ht="15" hidden="false" customHeight="false" outlineLevel="0" collapsed="false">
      <c r="D15" s="13" t="s">
        <v>78</v>
      </c>
      <c r="E15" s="14" t="n">
        <f aca="false">SUM(E5:E14)</f>
        <v>125</v>
      </c>
      <c r="F15" s="14" t="n">
        <f aca="false">SUM(F5:F14)</f>
        <v>44</v>
      </c>
      <c r="G15" s="14" t="n">
        <f aca="false">SUM(G5:G14)</f>
        <v>49</v>
      </c>
      <c r="H15" s="14" t="n">
        <f aca="false">SUM(H5:H14)</f>
        <v>32</v>
      </c>
      <c r="I15" s="14" t="n">
        <f aca="false">SUM(I5:I14)</f>
        <v>0</v>
      </c>
      <c r="J15" s="15" t="n">
        <f aca="false">IFERROR(I15/E15,0)</f>
        <v>0</v>
      </c>
    </row>
  </sheetData>
  <mergeCells count="1"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2" topLeftCell="F3" activePane="bottomRight" state="frozen"/>
      <selection pane="topLeft" activeCell="A1" activeCellId="0" sqref="A1"/>
      <selection pane="topRight" activeCell="F1" activeCellId="0" sqref="F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0" width="5"/>
    <col collapsed="false" customWidth="true" hidden="false" outlineLevel="0" max="4" min="4" style="0" width="9"/>
    <col collapsed="false" customWidth="true" hidden="false" outlineLevel="0" max="5" min="5" style="0" width="18"/>
    <col collapsed="false" customWidth="true" hidden="false" outlineLevel="0" max="6" min="6" style="0" width="60"/>
    <col collapsed="false" customWidth="true" hidden="false" outlineLevel="0" max="7" min="7" style="0" width="20"/>
    <col collapsed="false" customWidth="true" hidden="false" outlineLevel="0" max="8" min="8" style="0" width="46"/>
    <col collapsed="false" customWidth="true" hidden="false" outlineLevel="0" max="9" min="9" style="0" width="6"/>
    <col collapsed="false" customWidth="true" hidden="false" outlineLevel="0" max="10" min="10" style="0" width="11"/>
    <col collapsed="false" customWidth="true" hidden="false" outlineLevel="0" max="11" min="11" style="0" width="30"/>
    <col collapsed="false" customWidth="true" hidden="false" outlineLevel="0" max="12" min="12" style="0" width="15"/>
    <col collapsed="false" customWidth="true" hidden="false" outlineLevel="0" max="13" min="13" style="0" width="34"/>
    <col collapsed="false" customWidth="true" hidden="false" outlineLevel="0" max="14" min="14" style="0" width="13"/>
    <col collapsed="false" customWidth="true" hidden="false" outlineLevel="0" max="15" min="15" style="0" width="62"/>
    <col collapsed="false" customWidth="true" hidden="false" outlineLevel="0" max="16" min="16" style="0" width="58"/>
    <col collapsed="false" customWidth="true" hidden="false" outlineLevel="0" max="17" min="17" style="0" width="14"/>
    <col collapsed="false" customWidth="true" hidden="false" outlineLevel="0" max="18" min="18" style="0" width="11"/>
    <col collapsed="false" customWidth="true" hidden="false" outlineLevel="0" max="19" min="19" style="0" width="13"/>
    <col collapsed="false" customWidth="true" hidden="false" outlineLevel="0" max="20" min="20" style="0" width="46"/>
    <col collapsed="false" customWidth="true" hidden="false" outlineLevel="0" max="22" min="21" style="0" width="14"/>
    <col collapsed="false" customWidth="true" hidden="false" outlineLevel="0" max="23" min="23" style="0" width="22"/>
    <col collapsed="false" customWidth="true" hidden="false" outlineLevel="0" max="24" min="24" style="0" width="46"/>
  </cols>
  <sheetData>
    <row r="1" customFormat="false" ht="19.5" hidden="false" customHeight="true" outlineLevel="0" collapsed="false">
      <c r="A1" s="16" t="s">
        <v>79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</row>
    <row r="2" customFormat="false" ht="42" hidden="false" customHeight="true" outlineLevel="0" collapsed="false">
      <c r="A2" s="8" t="s">
        <v>80</v>
      </c>
      <c r="B2" s="8" t="s">
        <v>40</v>
      </c>
      <c r="C2" s="8" t="s">
        <v>81</v>
      </c>
      <c r="D2" s="8" t="s">
        <v>82</v>
      </c>
      <c r="E2" s="8" t="s">
        <v>83</v>
      </c>
      <c r="F2" s="8" t="s">
        <v>84</v>
      </c>
      <c r="G2" s="8" t="s">
        <v>85</v>
      </c>
      <c r="H2" s="8" t="s">
        <v>86</v>
      </c>
      <c r="I2" s="8" t="s">
        <v>87</v>
      </c>
      <c r="J2" s="8" t="s">
        <v>88</v>
      </c>
      <c r="K2" s="8" t="s">
        <v>89</v>
      </c>
      <c r="L2" s="8" t="s">
        <v>90</v>
      </c>
      <c r="M2" s="8" t="s">
        <v>91</v>
      </c>
      <c r="N2" s="8" t="s">
        <v>92</v>
      </c>
      <c r="O2" s="8" t="s">
        <v>93</v>
      </c>
      <c r="P2" s="8" t="s">
        <v>94</v>
      </c>
      <c r="Q2" s="8" t="s">
        <v>95</v>
      </c>
      <c r="R2" s="8" t="s">
        <v>96</v>
      </c>
      <c r="S2" s="8" t="s">
        <v>97</v>
      </c>
      <c r="T2" s="8" t="s">
        <v>98</v>
      </c>
      <c r="U2" s="8" t="s">
        <v>99</v>
      </c>
      <c r="V2" s="8" t="s">
        <v>100</v>
      </c>
      <c r="W2" s="8" t="s">
        <v>101</v>
      </c>
      <c r="X2" s="8" t="s">
        <v>102</v>
      </c>
    </row>
    <row r="3" customFormat="false" ht="43.5" hidden="false" customHeight="true" outlineLevel="0" collapsed="false">
      <c r="A3" s="17" t="s">
        <v>103</v>
      </c>
      <c r="B3" s="18" t="s">
        <v>50</v>
      </c>
      <c r="C3" s="19" t="n">
        <v>1</v>
      </c>
      <c r="D3" s="18" t="s">
        <v>48</v>
      </c>
      <c r="E3" s="17" t="str">
        <f aca="false">INDEX(Roster!$B$5:$B$14,MATCH($D3,Roster!$A$5:$A$14,0))</f>
        <v>Reader 01</v>
      </c>
      <c r="F3" s="20" t="s">
        <v>104</v>
      </c>
      <c r="G3" s="17" t="s">
        <v>105</v>
      </c>
      <c r="H3" s="20" t="s">
        <v>106</v>
      </c>
      <c r="I3" s="18" t="n">
        <v>2022</v>
      </c>
      <c r="J3" s="17" t="s">
        <v>107</v>
      </c>
      <c r="K3" s="20" t="s">
        <v>108</v>
      </c>
      <c r="L3" s="17" t="s">
        <v>109</v>
      </c>
      <c r="M3" s="21" t="s">
        <v>110</v>
      </c>
      <c r="N3" s="18" t="s">
        <v>111</v>
      </c>
      <c r="O3" s="20" t="s">
        <v>112</v>
      </c>
      <c r="P3" s="20" t="s">
        <v>113</v>
      </c>
      <c r="Q3" s="22" t="s">
        <v>114</v>
      </c>
      <c r="R3" s="23" t="n">
        <v>46247</v>
      </c>
      <c r="S3" s="22"/>
      <c r="T3" s="24"/>
      <c r="U3" s="25"/>
      <c r="V3" s="25"/>
      <c r="W3" s="22"/>
      <c r="X3" s="24"/>
    </row>
    <row r="4" customFormat="false" ht="43.5" hidden="false" customHeight="true" outlineLevel="0" collapsed="false">
      <c r="A4" s="26" t="s">
        <v>115</v>
      </c>
      <c r="B4" s="27" t="s">
        <v>50</v>
      </c>
      <c r="C4" s="28" t="n">
        <v>1</v>
      </c>
      <c r="D4" s="27" t="s">
        <v>52</v>
      </c>
      <c r="E4" s="26" t="str">
        <f aca="false">INDEX(Roster!$B$5:$B$14,MATCH($D4,Roster!$A$5:$A$14,0))</f>
        <v>Reader 02</v>
      </c>
      <c r="F4" s="29" t="s">
        <v>116</v>
      </c>
      <c r="G4" s="26" t="s">
        <v>117</v>
      </c>
      <c r="H4" s="29" t="s">
        <v>118</v>
      </c>
      <c r="I4" s="27" t="n">
        <v>2025</v>
      </c>
      <c r="J4" s="26" t="s">
        <v>119</v>
      </c>
      <c r="K4" s="29" t="s">
        <v>108</v>
      </c>
      <c r="L4" s="26" t="s">
        <v>120</v>
      </c>
      <c r="M4" s="30" t="s">
        <v>121</v>
      </c>
      <c r="N4" s="27" t="s">
        <v>122</v>
      </c>
      <c r="O4" s="29" t="s">
        <v>123</v>
      </c>
      <c r="P4" s="29" t="s">
        <v>124</v>
      </c>
      <c r="Q4" s="22" t="s">
        <v>114</v>
      </c>
      <c r="R4" s="23" t="n">
        <v>46247</v>
      </c>
      <c r="S4" s="22"/>
      <c r="T4" s="24"/>
      <c r="U4" s="25"/>
      <c r="V4" s="25"/>
      <c r="W4" s="22"/>
      <c r="X4" s="24"/>
    </row>
    <row r="5" customFormat="false" ht="43.5" hidden="false" customHeight="true" outlineLevel="0" collapsed="false">
      <c r="A5" s="17" t="s">
        <v>125</v>
      </c>
      <c r="B5" s="18" t="s">
        <v>50</v>
      </c>
      <c r="C5" s="19" t="n">
        <v>1</v>
      </c>
      <c r="D5" s="18" t="s">
        <v>48</v>
      </c>
      <c r="E5" s="17" t="str">
        <f aca="false">INDEX(Roster!$B$5:$B$14,MATCH($D5,Roster!$A$5:$A$14,0))</f>
        <v>Reader 01</v>
      </c>
      <c r="F5" s="20" t="s">
        <v>126</v>
      </c>
      <c r="G5" s="17" t="s">
        <v>127</v>
      </c>
      <c r="H5" s="20" t="s">
        <v>128</v>
      </c>
      <c r="I5" s="18" t="n">
        <v>2025</v>
      </c>
      <c r="J5" s="17" t="s">
        <v>129</v>
      </c>
      <c r="K5" s="20" t="s">
        <v>108</v>
      </c>
      <c r="L5" s="17" t="s">
        <v>130</v>
      </c>
      <c r="M5" s="21" t="s">
        <v>131</v>
      </c>
      <c r="N5" s="18" t="s">
        <v>132</v>
      </c>
      <c r="O5" s="20" t="s">
        <v>133</v>
      </c>
      <c r="P5" s="20" t="s">
        <v>134</v>
      </c>
      <c r="Q5" s="22" t="s">
        <v>114</v>
      </c>
      <c r="R5" s="23" t="n">
        <v>46247</v>
      </c>
      <c r="S5" s="22"/>
      <c r="T5" s="24"/>
      <c r="U5" s="25"/>
      <c r="V5" s="25"/>
      <c r="W5" s="22"/>
      <c r="X5" s="24"/>
    </row>
    <row r="6" customFormat="false" ht="43.5" hidden="false" customHeight="true" outlineLevel="0" collapsed="false">
      <c r="A6" s="26" t="s">
        <v>135</v>
      </c>
      <c r="B6" s="27" t="s">
        <v>50</v>
      </c>
      <c r="C6" s="28" t="n">
        <v>1</v>
      </c>
      <c r="D6" s="27" t="s">
        <v>52</v>
      </c>
      <c r="E6" s="26" t="str">
        <f aca="false">INDEX(Roster!$B$5:$B$14,MATCH($D6,Roster!$A$5:$A$14,0))</f>
        <v>Reader 02</v>
      </c>
      <c r="F6" s="29" t="s">
        <v>136</v>
      </c>
      <c r="G6" s="26" t="s">
        <v>137</v>
      </c>
      <c r="H6" s="29" t="s">
        <v>138</v>
      </c>
      <c r="I6" s="27" t="n">
        <v>2026</v>
      </c>
      <c r="J6" s="26" t="s">
        <v>139</v>
      </c>
      <c r="K6" s="29" t="s">
        <v>140</v>
      </c>
      <c r="L6" s="26" t="s">
        <v>141</v>
      </c>
      <c r="M6" s="30" t="s">
        <v>142</v>
      </c>
      <c r="N6" s="27" t="s">
        <v>143</v>
      </c>
      <c r="O6" s="29" t="s">
        <v>144</v>
      </c>
      <c r="P6" s="29" t="s">
        <v>145</v>
      </c>
      <c r="Q6" s="22" t="s">
        <v>114</v>
      </c>
      <c r="R6" s="23" t="n">
        <v>46247</v>
      </c>
      <c r="S6" s="22"/>
      <c r="T6" s="24"/>
      <c r="U6" s="25"/>
      <c r="V6" s="25"/>
      <c r="W6" s="22"/>
      <c r="X6" s="24"/>
    </row>
    <row r="7" customFormat="false" ht="43.5" hidden="false" customHeight="true" outlineLevel="0" collapsed="false">
      <c r="A7" s="17" t="s">
        <v>146</v>
      </c>
      <c r="B7" s="18" t="s">
        <v>50</v>
      </c>
      <c r="C7" s="19" t="n">
        <v>1</v>
      </c>
      <c r="D7" s="18" t="s">
        <v>48</v>
      </c>
      <c r="E7" s="17" t="str">
        <f aca="false">INDEX(Roster!$B$5:$B$14,MATCH($D7,Roster!$A$5:$A$14,0))</f>
        <v>Reader 01</v>
      </c>
      <c r="F7" s="20" t="s">
        <v>147</v>
      </c>
      <c r="G7" s="17" t="s">
        <v>148</v>
      </c>
      <c r="H7" s="20" t="s">
        <v>149</v>
      </c>
      <c r="I7" s="18" t="n">
        <v>2026</v>
      </c>
      <c r="J7" s="17" t="s">
        <v>139</v>
      </c>
      <c r="K7" s="20" t="s">
        <v>150</v>
      </c>
      <c r="L7" s="17" t="s">
        <v>151</v>
      </c>
      <c r="M7" s="21" t="s">
        <v>152</v>
      </c>
      <c r="N7" s="18" t="s">
        <v>143</v>
      </c>
      <c r="O7" s="20" t="s">
        <v>153</v>
      </c>
      <c r="P7" s="20" t="s">
        <v>154</v>
      </c>
      <c r="Q7" s="22" t="s">
        <v>114</v>
      </c>
      <c r="R7" s="23" t="n">
        <v>46247</v>
      </c>
      <c r="S7" s="22"/>
      <c r="T7" s="24"/>
      <c r="U7" s="25"/>
      <c r="V7" s="25"/>
      <c r="W7" s="22"/>
      <c r="X7" s="24"/>
    </row>
    <row r="8" customFormat="false" ht="43.5" hidden="false" customHeight="true" outlineLevel="0" collapsed="false">
      <c r="A8" s="26" t="s">
        <v>155</v>
      </c>
      <c r="B8" s="27" t="s">
        <v>50</v>
      </c>
      <c r="C8" s="28" t="n">
        <v>1</v>
      </c>
      <c r="D8" s="27" t="s">
        <v>52</v>
      </c>
      <c r="E8" s="26" t="str">
        <f aca="false">INDEX(Roster!$B$5:$B$14,MATCH($D8,Roster!$A$5:$A$14,0))</f>
        <v>Reader 02</v>
      </c>
      <c r="F8" s="29" t="s">
        <v>156</v>
      </c>
      <c r="G8" s="26" t="s">
        <v>137</v>
      </c>
      <c r="H8" s="29" t="s">
        <v>157</v>
      </c>
      <c r="I8" s="27" t="n">
        <v>2026</v>
      </c>
      <c r="J8" s="26" t="s">
        <v>158</v>
      </c>
      <c r="K8" s="29" t="s">
        <v>159</v>
      </c>
      <c r="L8" s="26" t="s">
        <v>160</v>
      </c>
      <c r="M8" s="30" t="s">
        <v>161</v>
      </c>
      <c r="N8" s="27" t="s">
        <v>122</v>
      </c>
      <c r="O8" s="29" t="s">
        <v>162</v>
      </c>
      <c r="P8" s="29" t="s">
        <v>163</v>
      </c>
      <c r="Q8" s="22" t="s">
        <v>114</v>
      </c>
      <c r="R8" s="23" t="n">
        <v>46247</v>
      </c>
      <c r="S8" s="22"/>
      <c r="T8" s="24"/>
      <c r="U8" s="25"/>
      <c r="V8" s="25"/>
      <c r="W8" s="22"/>
      <c r="X8" s="24"/>
    </row>
    <row r="9" customFormat="false" ht="43.5" hidden="false" customHeight="true" outlineLevel="0" collapsed="false">
      <c r="A9" s="17" t="s">
        <v>164</v>
      </c>
      <c r="B9" s="18" t="s">
        <v>50</v>
      </c>
      <c r="C9" s="19" t="n">
        <v>1</v>
      </c>
      <c r="D9" s="18" t="s">
        <v>48</v>
      </c>
      <c r="E9" s="17" t="str">
        <f aca="false">INDEX(Roster!$B$5:$B$14,MATCH($D9,Roster!$A$5:$A$14,0))</f>
        <v>Reader 01</v>
      </c>
      <c r="F9" s="20" t="s">
        <v>165</v>
      </c>
      <c r="G9" s="17" t="s">
        <v>117</v>
      </c>
      <c r="H9" s="20" t="s">
        <v>166</v>
      </c>
      <c r="I9" s="18" t="n">
        <v>2026</v>
      </c>
      <c r="J9" s="17" t="s">
        <v>167</v>
      </c>
      <c r="K9" s="20" t="s">
        <v>168</v>
      </c>
      <c r="L9" s="17" t="s">
        <v>169</v>
      </c>
      <c r="M9" s="21" t="s">
        <v>170</v>
      </c>
      <c r="N9" s="18" t="s">
        <v>132</v>
      </c>
      <c r="O9" s="20" t="s">
        <v>171</v>
      </c>
      <c r="P9" s="20" t="s">
        <v>172</v>
      </c>
      <c r="Q9" s="22" t="s">
        <v>114</v>
      </c>
      <c r="R9" s="23" t="n">
        <v>46247</v>
      </c>
      <c r="S9" s="22"/>
      <c r="T9" s="24"/>
      <c r="U9" s="25"/>
      <c r="V9" s="25"/>
      <c r="W9" s="22"/>
      <c r="X9" s="24"/>
    </row>
    <row r="10" customFormat="false" ht="43.5" hidden="false" customHeight="true" outlineLevel="0" collapsed="false">
      <c r="A10" s="26" t="s">
        <v>173</v>
      </c>
      <c r="B10" s="27" t="s">
        <v>50</v>
      </c>
      <c r="C10" s="31" t="n">
        <v>2</v>
      </c>
      <c r="D10" s="27" t="s">
        <v>52</v>
      </c>
      <c r="E10" s="26" t="str">
        <f aca="false">INDEX(Roster!$B$5:$B$14,MATCH($D10,Roster!$A$5:$A$14,0))</f>
        <v>Reader 02</v>
      </c>
      <c r="F10" s="29" t="s">
        <v>174</v>
      </c>
      <c r="G10" s="26" t="s">
        <v>175</v>
      </c>
      <c r="H10" s="29" t="s">
        <v>176</v>
      </c>
      <c r="I10" s="27" t="n">
        <v>1999</v>
      </c>
      <c r="J10" s="26" t="s">
        <v>177</v>
      </c>
      <c r="K10" s="29" t="s">
        <v>178</v>
      </c>
      <c r="L10" s="26" t="s">
        <v>179</v>
      </c>
      <c r="M10" s="30" t="s">
        <v>180</v>
      </c>
      <c r="N10" s="27" t="s">
        <v>111</v>
      </c>
      <c r="O10" s="29" t="s">
        <v>181</v>
      </c>
      <c r="P10" s="29" t="s">
        <v>182</v>
      </c>
      <c r="Q10" s="22" t="s">
        <v>114</v>
      </c>
      <c r="R10" s="23" t="n">
        <v>46268</v>
      </c>
      <c r="S10" s="22"/>
      <c r="T10" s="24"/>
      <c r="U10" s="25"/>
      <c r="V10" s="25"/>
      <c r="W10" s="22"/>
      <c r="X10" s="24"/>
    </row>
    <row r="11" customFormat="false" ht="43.5" hidden="false" customHeight="true" outlineLevel="0" collapsed="false">
      <c r="A11" s="17" t="s">
        <v>183</v>
      </c>
      <c r="B11" s="18" t="s">
        <v>50</v>
      </c>
      <c r="C11" s="32" t="n">
        <v>2</v>
      </c>
      <c r="D11" s="18" t="s">
        <v>48</v>
      </c>
      <c r="E11" s="17" t="str">
        <f aca="false">INDEX(Roster!$B$5:$B$14,MATCH($D11,Roster!$A$5:$A$14,0))</f>
        <v>Reader 01</v>
      </c>
      <c r="F11" s="20" t="s">
        <v>184</v>
      </c>
      <c r="G11" s="17" t="s">
        <v>185</v>
      </c>
      <c r="H11" s="20" t="s">
        <v>186</v>
      </c>
      <c r="I11" s="18" t="n">
        <v>2003</v>
      </c>
      <c r="J11" s="17" t="s">
        <v>187</v>
      </c>
      <c r="K11" s="20" t="s">
        <v>188</v>
      </c>
      <c r="L11" s="17" t="s">
        <v>179</v>
      </c>
      <c r="M11" s="21" t="s">
        <v>189</v>
      </c>
      <c r="N11" s="18" t="s">
        <v>111</v>
      </c>
      <c r="O11" s="20" t="s">
        <v>190</v>
      </c>
      <c r="P11" s="20" t="s">
        <v>191</v>
      </c>
      <c r="Q11" s="22" t="s">
        <v>114</v>
      </c>
      <c r="R11" s="23" t="n">
        <v>46268</v>
      </c>
      <c r="S11" s="22"/>
      <c r="T11" s="24"/>
      <c r="U11" s="25"/>
      <c r="V11" s="25"/>
      <c r="W11" s="22"/>
      <c r="X11" s="24"/>
    </row>
    <row r="12" customFormat="false" ht="43.5" hidden="false" customHeight="true" outlineLevel="0" collapsed="false">
      <c r="A12" s="26" t="s">
        <v>192</v>
      </c>
      <c r="B12" s="27" t="s">
        <v>50</v>
      </c>
      <c r="C12" s="31" t="n">
        <v>2</v>
      </c>
      <c r="D12" s="27" t="s">
        <v>52</v>
      </c>
      <c r="E12" s="26" t="str">
        <f aca="false">INDEX(Roster!$B$5:$B$14,MATCH($D12,Roster!$A$5:$A$14,0))</f>
        <v>Reader 02</v>
      </c>
      <c r="F12" s="29" t="s">
        <v>193</v>
      </c>
      <c r="G12" s="26" t="s">
        <v>194</v>
      </c>
      <c r="H12" s="29" t="s">
        <v>195</v>
      </c>
      <c r="I12" s="27" t="n">
        <v>2015</v>
      </c>
      <c r="J12" s="26" t="s">
        <v>196</v>
      </c>
      <c r="K12" s="29" t="s">
        <v>197</v>
      </c>
      <c r="L12" s="26" t="s">
        <v>179</v>
      </c>
      <c r="M12" s="30" t="s">
        <v>198</v>
      </c>
      <c r="N12" s="27" t="s">
        <v>111</v>
      </c>
      <c r="O12" s="29" t="s">
        <v>199</v>
      </c>
      <c r="P12" s="29" t="s">
        <v>200</v>
      </c>
      <c r="Q12" s="22" t="s">
        <v>114</v>
      </c>
      <c r="R12" s="23" t="n">
        <v>46268</v>
      </c>
      <c r="S12" s="22"/>
      <c r="T12" s="24"/>
      <c r="U12" s="25"/>
      <c r="V12" s="25"/>
      <c r="W12" s="22"/>
      <c r="X12" s="24"/>
    </row>
    <row r="13" customFormat="false" ht="43.5" hidden="false" customHeight="true" outlineLevel="0" collapsed="false">
      <c r="A13" s="17" t="s">
        <v>201</v>
      </c>
      <c r="B13" s="18" t="s">
        <v>50</v>
      </c>
      <c r="C13" s="32" t="n">
        <v>2</v>
      </c>
      <c r="D13" s="18" t="s">
        <v>48</v>
      </c>
      <c r="E13" s="17" t="str">
        <f aca="false">INDEX(Roster!$B$5:$B$14,MATCH($D13,Roster!$A$5:$A$14,0))</f>
        <v>Reader 01</v>
      </c>
      <c r="F13" s="20" t="s">
        <v>202</v>
      </c>
      <c r="G13" s="17" t="s">
        <v>105</v>
      </c>
      <c r="H13" s="20" t="s">
        <v>203</v>
      </c>
      <c r="I13" s="18" t="n">
        <v>2019</v>
      </c>
      <c r="J13" s="17" t="s">
        <v>204</v>
      </c>
      <c r="K13" s="20" t="s">
        <v>205</v>
      </c>
      <c r="L13" s="17" t="s">
        <v>179</v>
      </c>
      <c r="M13" s="21" t="s">
        <v>206</v>
      </c>
      <c r="N13" s="18" t="s">
        <v>111</v>
      </c>
      <c r="O13" s="20" t="s">
        <v>207</v>
      </c>
      <c r="P13" s="20" t="s">
        <v>208</v>
      </c>
      <c r="Q13" s="22" t="s">
        <v>114</v>
      </c>
      <c r="R13" s="23" t="n">
        <v>46268</v>
      </c>
      <c r="S13" s="22"/>
      <c r="T13" s="24"/>
      <c r="U13" s="25"/>
      <c r="V13" s="25"/>
      <c r="W13" s="22"/>
      <c r="X13" s="24"/>
    </row>
    <row r="14" customFormat="false" ht="43.5" hidden="false" customHeight="true" outlineLevel="0" collapsed="false">
      <c r="A14" s="26" t="s">
        <v>209</v>
      </c>
      <c r="B14" s="27" t="s">
        <v>50</v>
      </c>
      <c r="C14" s="31" t="n">
        <v>2</v>
      </c>
      <c r="D14" s="27" t="s">
        <v>52</v>
      </c>
      <c r="E14" s="26" t="str">
        <f aca="false">INDEX(Roster!$B$5:$B$14,MATCH($D14,Roster!$A$5:$A$14,0))</f>
        <v>Reader 02</v>
      </c>
      <c r="F14" s="29" t="s">
        <v>210</v>
      </c>
      <c r="G14" s="26" t="s">
        <v>211</v>
      </c>
      <c r="H14" s="29" t="s">
        <v>212</v>
      </c>
      <c r="I14" s="27" t="n">
        <v>2022</v>
      </c>
      <c r="J14" s="26" t="s">
        <v>213</v>
      </c>
      <c r="K14" s="29" t="s">
        <v>108</v>
      </c>
      <c r="L14" s="26" t="s">
        <v>214</v>
      </c>
      <c r="M14" s="30" t="s">
        <v>215</v>
      </c>
      <c r="N14" s="27" t="s">
        <v>111</v>
      </c>
      <c r="O14" s="29" t="s">
        <v>216</v>
      </c>
      <c r="P14" s="29" t="s">
        <v>217</v>
      </c>
      <c r="Q14" s="22" t="s">
        <v>114</v>
      </c>
      <c r="R14" s="23" t="n">
        <v>46268</v>
      </c>
      <c r="S14" s="22"/>
      <c r="T14" s="24"/>
      <c r="U14" s="25"/>
      <c r="V14" s="25"/>
      <c r="W14" s="22"/>
      <c r="X14" s="24"/>
    </row>
    <row r="15" customFormat="false" ht="43.5" hidden="false" customHeight="true" outlineLevel="0" collapsed="false">
      <c r="A15" s="17" t="s">
        <v>218</v>
      </c>
      <c r="B15" s="18" t="s">
        <v>50</v>
      </c>
      <c r="C15" s="32" t="n">
        <v>2</v>
      </c>
      <c r="D15" s="18" t="s">
        <v>48</v>
      </c>
      <c r="E15" s="17" t="str">
        <f aca="false">INDEX(Roster!$B$5:$B$14,MATCH($D15,Roster!$A$5:$A$14,0))</f>
        <v>Reader 01</v>
      </c>
      <c r="F15" s="20" t="s">
        <v>219</v>
      </c>
      <c r="G15" s="17" t="s">
        <v>127</v>
      </c>
      <c r="H15" s="20" t="s">
        <v>127</v>
      </c>
      <c r="I15" s="18" t="n">
        <v>2025</v>
      </c>
      <c r="J15" s="17" t="s">
        <v>220</v>
      </c>
      <c r="K15" s="20" t="s">
        <v>108</v>
      </c>
      <c r="L15" s="17" t="s">
        <v>221</v>
      </c>
      <c r="M15" s="21" t="s">
        <v>222</v>
      </c>
      <c r="N15" s="18" t="s">
        <v>132</v>
      </c>
      <c r="O15" s="20" t="s">
        <v>223</v>
      </c>
      <c r="P15" s="20" t="s">
        <v>224</v>
      </c>
      <c r="Q15" s="22" t="s">
        <v>114</v>
      </c>
      <c r="R15" s="23" t="n">
        <v>46268</v>
      </c>
      <c r="S15" s="22"/>
      <c r="T15" s="24"/>
      <c r="U15" s="25"/>
      <c r="V15" s="25"/>
      <c r="W15" s="22"/>
      <c r="X15" s="24"/>
    </row>
    <row r="16" customFormat="false" ht="43.5" hidden="false" customHeight="true" outlineLevel="0" collapsed="false">
      <c r="A16" s="26" t="s">
        <v>225</v>
      </c>
      <c r="B16" s="27" t="s">
        <v>50</v>
      </c>
      <c r="C16" s="31" t="n">
        <v>2</v>
      </c>
      <c r="D16" s="27" t="s">
        <v>52</v>
      </c>
      <c r="E16" s="26" t="str">
        <f aca="false">INDEX(Roster!$B$5:$B$14,MATCH($D16,Roster!$A$5:$A$14,0))</f>
        <v>Reader 02</v>
      </c>
      <c r="F16" s="29" t="s">
        <v>226</v>
      </c>
      <c r="G16" s="26" t="s">
        <v>227</v>
      </c>
      <c r="H16" s="29" t="s">
        <v>228</v>
      </c>
      <c r="I16" s="27" t="n">
        <v>2026</v>
      </c>
      <c r="J16" s="26" t="s">
        <v>229</v>
      </c>
      <c r="K16" s="29" t="s">
        <v>108</v>
      </c>
      <c r="L16" s="26" t="s">
        <v>230</v>
      </c>
      <c r="M16" s="30" t="s">
        <v>231</v>
      </c>
      <c r="N16" s="27" t="s">
        <v>132</v>
      </c>
      <c r="O16" s="29" t="s">
        <v>232</v>
      </c>
      <c r="P16" s="29" t="s">
        <v>233</v>
      </c>
      <c r="Q16" s="22" t="s">
        <v>114</v>
      </c>
      <c r="R16" s="23" t="n">
        <v>46268</v>
      </c>
      <c r="S16" s="22"/>
      <c r="T16" s="24"/>
      <c r="U16" s="25"/>
      <c r="V16" s="25"/>
      <c r="W16" s="22"/>
      <c r="X16" s="24"/>
    </row>
    <row r="17" customFormat="false" ht="43.5" hidden="false" customHeight="true" outlineLevel="0" collapsed="false">
      <c r="A17" s="17" t="s">
        <v>234</v>
      </c>
      <c r="B17" s="18" t="s">
        <v>50</v>
      </c>
      <c r="C17" s="32" t="n">
        <v>2</v>
      </c>
      <c r="D17" s="18" t="s">
        <v>48</v>
      </c>
      <c r="E17" s="17" t="str">
        <f aca="false">INDEX(Roster!$B$5:$B$14,MATCH($D17,Roster!$A$5:$A$14,0))</f>
        <v>Reader 01</v>
      </c>
      <c r="F17" s="20" t="s">
        <v>235</v>
      </c>
      <c r="G17" s="17" t="s">
        <v>236</v>
      </c>
      <c r="H17" s="20" t="s">
        <v>237</v>
      </c>
      <c r="I17" s="18" t="n">
        <v>2026</v>
      </c>
      <c r="J17" s="17" t="s">
        <v>238</v>
      </c>
      <c r="K17" s="20" t="s">
        <v>239</v>
      </c>
      <c r="L17" s="17" t="s">
        <v>240</v>
      </c>
      <c r="M17" s="21" t="s">
        <v>241</v>
      </c>
      <c r="N17" s="18" t="s">
        <v>132</v>
      </c>
      <c r="O17" s="20" t="s">
        <v>242</v>
      </c>
      <c r="P17" s="20" t="s">
        <v>243</v>
      </c>
      <c r="Q17" s="22" t="s">
        <v>114</v>
      </c>
      <c r="R17" s="23" t="n">
        <v>46268</v>
      </c>
      <c r="S17" s="22"/>
      <c r="T17" s="24"/>
      <c r="U17" s="25"/>
      <c r="V17" s="25"/>
      <c r="W17" s="22"/>
      <c r="X17" s="24"/>
    </row>
    <row r="18" customFormat="false" ht="43.5" hidden="false" customHeight="true" outlineLevel="0" collapsed="false">
      <c r="A18" s="26" t="s">
        <v>244</v>
      </c>
      <c r="B18" s="27" t="s">
        <v>50</v>
      </c>
      <c r="C18" s="31" t="n">
        <v>2</v>
      </c>
      <c r="D18" s="27" t="s">
        <v>52</v>
      </c>
      <c r="E18" s="26" t="str">
        <f aca="false">INDEX(Roster!$B$5:$B$14,MATCH($D18,Roster!$A$5:$A$14,0))</f>
        <v>Reader 02</v>
      </c>
      <c r="F18" s="29" t="s">
        <v>245</v>
      </c>
      <c r="G18" s="26" t="s">
        <v>246</v>
      </c>
      <c r="H18" s="29" t="s">
        <v>247</v>
      </c>
      <c r="I18" s="27" t="n">
        <v>2026</v>
      </c>
      <c r="J18" s="26" t="s">
        <v>248</v>
      </c>
      <c r="K18" s="29" t="s">
        <v>108</v>
      </c>
      <c r="L18" s="26" t="s">
        <v>249</v>
      </c>
      <c r="M18" s="30" t="s">
        <v>250</v>
      </c>
      <c r="N18" s="27" t="s">
        <v>132</v>
      </c>
      <c r="O18" s="29" t="s">
        <v>251</v>
      </c>
      <c r="P18" s="29" t="s">
        <v>252</v>
      </c>
      <c r="Q18" s="22" t="s">
        <v>114</v>
      </c>
      <c r="R18" s="23" t="n">
        <v>46268</v>
      </c>
      <c r="S18" s="22"/>
      <c r="T18" s="24"/>
      <c r="U18" s="25"/>
      <c r="V18" s="25"/>
      <c r="W18" s="22"/>
      <c r="X18" s="24"/>
    </row>
    <row r="19" customFormat="false" ht="43.5" hidden="false" customHeight="true" outlineLevel="0" collapsed="false">
      <c r="A19" s="17" t="s">
        <v>253</v>
      </c>
      <c r="B19" s="18" t="s">
        <v>50</v>
      </c>
      <c r="C19" s="32" t="n">
        <v>2</v>
      </c>
      <c r="D19" s="18" t="s">
        <v>48</v>
      </c>
      <c r="E19" s="17" t="str">
        <f aca="false">INDEX(Roster!$B$5:$B$14,MATCH($D19,Roster!$A$5:$A$14,0))</f>
        <v>Reader 01</v>
      </c>
      <c r="F19" s="20" t="s">
        <v>254</v>
      </c>
      <c r="G19" s="17" t="s">
        <v>255</v>
      </c>
      <c r="H19" s="20" t="s">
        <v>255</v>
      </c>
      <c r="I19" s="18" t="n">
        <v>2026</v>
      </c>
      <c r="J19" s="17" t="s">
        <v>256</v>
      </c>
      <c r="K19" s="20" t="s">
        <v>257</v>
      </c>
      <c r="L19" s="17" t="s">
        <v>258</v>
      </c>
      <c r="M19" s="21" t="s">
        <v>259</v>
      </c>
      <c r="N19" s="18" t="s">
        <v>132</v>
      </c>
      <c r="O19" s="20" t="s">
        <v>260</v>
      </c>
      <c r="P19" s="20" t="s">
        <v>261</v>
      </c>
      <c r="Q19" s="22" t="s">
        <v>114</v>
      </c>
      <c r="R19" s="23" t="n">
        <v>46268</v>
      </c>
      <c r="S19" s="22"/>
      <c r="T19" s="24"/>
      <c r="U19" s="25"/>
      <c r="V19" s="25"/>
      <c r="W19" s="22"/>
      <c r="X19" s="24"/>
    </row>
    <row r="20" customFormat="false" ht="43.5" hidden="false" customHeight="true" outlineLevel="0" collapsed="false">
      <c r="A20" s="26" t="s">
        <v>262</v>
      </c>
      <c r="B20" s="27" t="s">
        <v>50</v>
      </c>
      <c r="C20" s="33" t="n">
        <v>3</v>
      </c>
      <c r="D20" s="27" t="s">
        <v>52</v>
      </c>
      <c r="E20" s="26" t="str">
        <f aca="false">INDEX(Roster!$B$5:$B$14,MATCH($D20,Roster!$A$5:$A$14,0))</f>
        <v>Reader 02</v>
      </c>
      <c r="F20" s="29" t="s">
        <v>263</v>
      </c>
      <c r="G20" s="26" t="s">
        <v>264</v>
      </c>
      <c r="H20" s="29" t="s">
        <v>264</v>
      </c>
      <c r="I20" s="27" t="n">
        <v>2002</v>
      </c>
      <c r="J20" s="26" t="s">
        <v>265</v>
      </c>
      <c r="K20" s="29" t="s">
        <v>266</v>
      </c>
      <c r="L20" s="26" t="s">
        <v>179</v>
      </c>
      <c r="M20" s="30" t="s">
        <v>267</v>
      </c>
      <c r="N20" s="27" t="s">
        <v>111</v>
      </c>
      <c r="O20" s="29" t="s">
        <v>268</v>
      </c>
      <c r="P20" s="29" t="s">
        <v>269</v>
      </c>
      <c r="Q20" s="22" t="s">
        <v>114</v>
      </c>
      <c r="R20" s="23" t="n">
        <v>46289</v>
      </c>
      <c r="S20" s="22"/>
      <c r="T20" s="24"/>
      <c r="U20" s="25"/>
      <c r="V20" s="25"/>
      <c r="W20" s="22"/>
      <c r="X20" s="24"/>
    </row>
    <row r="21" customFormat="false" ht="43.5" hidden="false" customHeight="true" outlineLevel="0" collapsed="false">
      <c r="A21" s="17" t="s">
        <v>270</v>
      </c>
      <c r="B21" s="18" t="s">
        <v>50</v>
      </c>
      <c r="C21" s="34" t="n">
        <v>3</v>
      </c>
      <c r="D21" s="18" t="s">
        <v>48</v>
      </c>
      <c r="E21" s="17" t="str">
        <f aca="false">INDEX(Roster!$B$5:$B$14,MATCH($D21,Roster!$A$5:$A$14,0))</f>
        <v>Reader 01</v>
      </c>
      <c r="F21" s="20" t="s">
        <v>271</v>
      </c>
      <c r="G21" s="17" t="s">
        <v>211</v>
      </c>
      <c r="H21" s="20" t="s">
        <v>212</v>
      </c>
      <c r="I21" s="18" t="n">
        <v>2021</v>
      </c>
      <c r="J21" s="17" t="s">
        <v>272</v>
      </c>
      <c r="K21" s="20" t="s">
        <v>273</v>
      </c>
      <c r="L21" s="17" t="s">
        <v>274</v>
      </c>
      <c r="M21" s="21" t="s">
        <v>275</v>
      </c>
      <c r="N21" s="18" t="s">
        <v>111</v>
      </c>
      <c r="O21" s="20" t="s">
        <v>276</v>
      </c>
      <c r="P21" s="20" t="s">
        <v>277</v>
      </c>
      <c r="Q21" s="22" t="s">
        <v>114</v>
      </c>
      <c r="R21" s="23" t="n">
        <v>46289</v>
      </c>
      <c r="S21" s="22"/>
      <c r="T21" s="24"/>
      <c r="U21" s="25"/>
      <c r="V21" s="25"/>
      <c r="W21" s="22"/>
      <c r="X21" s="24"/>
    </row>
    <row r="22" customFormat="false" ht="43.5" hidden="false" customHeight="true" outlineLevel="0" collapsed="false">
      <c r="A22" s="26" t="s">
        <v>278</v>
      </c>
      <c r="B22" s="27" t="s">
        <v>50</v>
      </c>
      <c r="C22" s="33" t="n">
        <v>3</v>
      </c>
      <c r="D22" s="27" t="s">
        <v>52</v>
      </c>
      <c r="E22" s="26" t="str">
        <f aca="false">INDEX(Roster!$B$5:$B$14,MATCH($D22,Roster!$A$5:$A$14,0))</f>
        <v>Reader 02</v>
      </c>
      <c r="F22" s="29" t="s">
        <v>279</v>
      </c>
      <c r="G22" s="26" t="s">
        <v>211</v>
      </c>
      <c r="H22" s="29" t="s">
        <v>280</v>
      </c>
      <c r="I22" s="27" t="n">
        <v>2024</v>
      </c>
      <c r="J22" s="26" t="s">
        <v>281</v>
      </c>
      <c r="K22" s="29" t="s">
        <v>108</v>
      </c>
      <c r="L22" s="26" t="s">
        <v>282</v>
      </c>
      <c r="M22" s="30" t="s">
        <v>283</v>
      </c>
      <c r="N22" s="27" t="s">
        <v>111</v>
      </c>
      <c r="O22" s="29" t="s">
        <v>284</v>
      </c>
      <c r="P22" s="29" t="s">
        <v>285</v>
      </c>
      <c r="Q22" s="22" t="s">
        <v>114</v>
      </c>
      <c r="R22" s="23" t="n">
        <v>46289</v>
      </c>
      <c r="S22" s="22"/>
      <c r="T22" s="24"/>
      <c r="U22" s="25"/>
      <c r="V22" s="25"/>
      <c r="W22" s="22"/>
      <c r="X22" s="24"/>
    </row>
    <row r="23" customFormat="false" ht="43.5" hidden="false" customHeight="true" outlineLevel="0" collapsed="false">
      <c r="A23" s="17" t="s">
        <v>286</v>
      </c>
      <c r="B23" s="18" t="s">
        <v>50</v>
      </c>
      <c r="C23" s="34" t="n">
        <v>3</v>
      </c>
      <c r="D23" s="18" t="s">
        <v>48</v>
      </c>
      <c r="E23" s="17" t="str">
        <f aca="false">INDEX(Roster!$B$5:$B$14,MATCH($D23,Roster!$A$5:$A$14,0))</f>
        <v>Reader 01</v>
      </c>
      <c r="F23" s="20" t="s">
        <v>287</v>
      </c>
      <c r="G23" s="17" t="s">
        <v>288</v>
      </c>
      <c r="H23" s="20" t="s">
        <v>288</v>
      </c>
      <c r="I23" s="18" t="n">
        <v>2026</v>
      </c>
      <c r="J23" s="17" t="s">
        <v>289</v>
      </c>
      <c r="K23" s="20" t="s">
        <v>108</v>
      </c>
      <c r="L23" s="17" t="s">
        <v>290</v>
      </c>
      <c r="M23" s="21" t="s">
        <v>291</v>
      </c>
      <c r="N23" s="18" t="s">
        <v>111</v>
      </c>
      <c r="O23" s="20" t="s">
        <v>292</v>
      </c>
      <c r="P23" s="20" t="s">
        <v>293</v>
      </c>
      <c r="Q23" s="22" t="s">
        <v>114</v>
      </c>
      <c r="R23" s="23" t="n">
        <v>46289</v>
      </c>
      <c r="S23" s="22"/>
      <c r="T23" s="24"/>
      <c r="U23" s="25"/>
      <c r="V23" s="25"/>
      <c r="W23" s="22"/>
      <c r="X23" s="24"/>
    </row>
    <row r="24" customFormat="false" ht="43.5" hidden="false" customHeight="true" outlineLevel="0" collapsed="false">
      <c r="A24" s="26" t="s">
        <v>294</v>
      </c>
      <c r="B24" s="27" t="s">
        <v>56</v>
      </c>
      <c r="C24" s="28" t="n">
        <v>1</v>
      </c>
      <c r="D24" s="27" t="s">
        <v>54</v>
      </c>
      <c r="E24" s="26" t="str">
        <f aca="false">INDEX(Roster!$B$5:$B$14,MATCH($D24,Roster!$A$5:$A$14,0))</f>
        <v>Reader 03</v>
      </c>
      <c r="F24" s="29" t="s">
        <v>295</v>
      </c>
      <c r="G24" s="26" t="s">
        <v>296</v>
      </c>
      <c r="H24" s="29" t="s">
        <v>297</v>
      </c>
      <c r="I24" s="27" t="n">
        <v>2024</v>
      </c>
      <c r="J24" s="26" t="s">
        <v>298</v>
      </c>
      <c r="K24" s="29" t="s">
        <v>299</v>
      </c>
      <c r="L24" s="26" t="s">
        <v>300</v>
      </c>
      <c r="M24" s="30" t="s">
        <v>301</v>
      </c>
      <c r="N24" s="27" t="s">
        <v>132</v>
      </c>
      <c r="O24" s="29" t="s">
        <v>302</v>
      </c>
      <c r="P24" s="29" t="s">
        <v>303</v>
      </c>
      <c r="Q24" s="22" t="s">
        <v>114</v>
      </c>
      <c r="R24" s="23" t="n">
        <v>46247</v>
      </c>
      <c r="S24" s="22"/>
      <c r="T24" s="24"/>
      <c r="U24" s="25"/>
      <c r="V24" s="25"/>
      <c r="W24" s="22"/>
      <c r="X24" s="24"/>
    </row>
    <row r="25" customFormat="false" ht="43.5" hidden="false" customHeight="true" outlineLevel="0" collapsed="false">
      <c r="A25" s="17" t="s">
        <v>304</v>
      </c>
      <c r="B25" s="18" t="s">
        <v>56</v>
      </c>
      <c r="C25" s="19" t="n">
        <v>1</v>
      </c>
      <c r="D25" s="18" t="s">
        <v>58</v>
      </c>
      <c r="E25" s="17" t="str">
        <f aca="false">INDEX(Roster!$B$5:$B$14,MATCH($D25,Roster!$A$5:$A$14,0))</f>
        <v>Reader 04</v>
      </c>
      <c r="F25" s="20" t="s">
        <v>305</v>
      </c>
      <c r="G25" s="17" t="s">
        <v>306</v>
      </c>
      <c r="H25" s="20" t="s">
        <v>307</v>
      </c>
      <c r="I25" s="18" t="n">
        <v>2025</v>
      </c>
      <c r="J25" s="17" t="s">
        <v>308</v>
      </c>
      <c r="K25" s="20" t="s">
        <v>108</v>
      </c>
      <c r="L25" s="17" t="s">
        <v>309</v>
      </c>
      <c r="M25" s="21" t="s">
        <v>310</v>
      </c>
      <c r="N25" s="18" t="s">
        <v>143</v>
      </c>
      <c r="O25" s="20" t="s">
        <v>311</v>
      </c>
      <c r="P25" s="20" t="s">
        <v>312</v>
      </c>
      <c r="Q25" s="22" t="s">
        <v>114</v>
      </c>
      <c r="R25" s="23" t="n">
        <v>46247</v>
      </c>
      <c r="S25" s="22"/>
      <c r="T25" s="24"/>
      <c r="U25" s="25"/>
      <c r="V25" s="25"/>
      <c r="W25" s="22"/>
      <c r="X25" s="24"/>
    </row>
    <row r="26" customFormat="false" ht="43.5" hidden="false" customHeight="true" outlineLevel="0" collapsed="false">
      <c r="A26" s="26" t="s">
        <v>313</v>
      </c>
      <c r="B26" s="27" t="s">
        <v>56</v>
      </c>
      <c r="C26" s="28" t="n">
        <v>1</v>
      </c>
      <c r="D26" s="27" t="s">
        <v>54</v>
      </c>
      <c r="E26" s="26" t="str">
        <f aca="false">INDEX(Roster!$B$5:$B$14,MATCH($D26,Roster!$A$5:$A$14,0))</f>
        <v>Reader 03</v>
      </c>
      <c r="F26" s="29" t="s">
        <v>314</v>
      </c>
      <c r="G26" s="26" t="s">
        <v>315</v>
      </c>
      <c r="H26" s="29" t="s">
        <v>316</v>
      </c>
      <c r="I26" s="27" t="n">
        <v>2025</v>
      </c>
      <c r="J26" s="26" t="s">
        <v>308</v>
      </c>
      <c r="K26" s="29" t="s">
        <v>108</v>
      </c>
      <c r="L26" s="26" t="s">
        <v>317</v>
      </c>
      <c r="M26" s="30" t="s">
        <v>318</v>
      </c>
      <c r="N26" s="27" t="s">
        <v>111</v>
      </c>
      <c r="O26" s="29" t="s">
        <v>319</v>
      </c>
      <c r="P26" s="29" t="s">
        <v>320</v>
      </c>
      <c r="Q26" s="22" t="s">
        <v>114</v>
      </c>
      <c r="R26" s="23" t="n">
        <v>46247</v>
      </c>
      <c r="S26" s="22"/>
      <c r="T26" s="24"/>
      <c r="U26" s="25"/>
      <c r="V26" s="25"/>
      <c r="W26" s="22"/>
      <c r="X26" s="24"/>
    </row>
    <row r="27" customFormat="false" ht="43.5" hidden="false" customHeight="true" outlineLevel="0" collapsed="false">
      <c r="A27" s="17" t="s">
        <v>321</v>
      </c>
      <c r="B27" s="18" t="s">
        <v>56</v>
      </c>
      <c r="C27" s="19" t="n">
        <v>1</v>
      </c>
      <c r="D27" s="18" t="s">
        <v>58</v>
      </c>
      <c r="E27" s="17" t="str">
        <f aca="false">INDEX(Roster!$B$5:$B$14,MATCH($D27,Roster!$A$5:$A$14,0))</f>
        <v>Reader 04</v>
      </c>
      <c r="F27" s="20" t="s">
        <v>322</v>
      </c>
      <c r="G27" s="17" t="s">
        <v>323</v>
      </c>
      <c r="H27" s="20" t="s">
        <v>324</v>
      </c>
      <c r="I27" s="18" t="n">
        <v>2025</v>
      </c>
      <c r="J27" s="17" t="s">
        <v>325</v>
      </c>
      <c r="K27" s="20" t="s">
        <v>326</v>
      </c>
      <c r="L27" s="17" t="s">
        <v>327</v>
      </c>
      <c r="M27" s="21" t="s">
        <v>328</v>
      </c>
      <c r="N27" s="18" t="s">
        <v>143</v>
      </c>
      <c r="O27" s="20" t="s">
        <v>329</v>
      </c>
      <c r="P27" s="20" t="s">
        <v>330</v>
      </c>
      <c r="Q27" s="22" t="s">
        <v>114</v>
      </c>
      <c r="R27" s="23" t="n">
        <v>46247</v>
      </c>
      <c r="S27" s="22"/>
      <c r="T27" s="24"/>
      <c r="U27" s="25"/>
      <c r="V27" s="25"/>
      <c r="W27" s="22"/>
      <c r="X27" s="24"/>
    </row>
    <row r="28" customFormat="false" ht="43.5" hidden="false" customHeight="true" outlineLevel="0" collapsed="false">
      <c r="A28" s="26" t="s">
        <v>331</v>
      </c>
      <c r="B28" s="27" t="s">
        <v>56</v>
      </c>
      <c r="C28" s="28" t="n">
        <v>1</v>
      </c>
      <c r="D28" s="27" t="s">
        <v>54</v>
      </c>
      <c r="E28" s="26" t="str">
        <f aca="false">INDEX(Roster!$B$5:$B$14,MATCH($D28,Roster!$A$5:$A$14,0))</f>
        <v>Reader 03</v>
      </c>
      <c r="F28" s="29" t="s">
        <v>332</v>
      </c>
      <c r="G28" s="26" t="s">
        <v>333</v>
      </c>
      <c r="H28" s="29" t="s">
        <v>334</v>
      </c>
      <c r="I28" s="27" t="n">
        <v>2025</v>
      </c>
      <c r="J28" s="26" t="s">
        <v>335</v>
      </c>
      <c r="K28" s="29" t="s">
        <v>108</v>
      </c>
      <c r="L28" s="26" t="s">
        <v>336</v>
      </c>
      <c r="M28" s="30" t="s">
        <v>337</v>
      </c>
      <c r="N28" s="27" t="s">
        <v>122</v>
      </c>
      <c r="O28" s="29" t="s">
        <v>338</v>
      </c>
      <c r="P28" s="29" t="s">
        <v>339</v>
      </c>
      <c r="Q28" s="22" t="s">
        <v>114</v>
      </c>
      <c r="R28" s="23" t="n">
        <v>46247</v>
      </c>
      <c r="S28" s="22"/>
      <c r="T28" s="24"/>
      <c r="U28" s="25"/>
      <c r="V28" s="25"/>
      <c r="W28" s="22"/>
      <c r="X28" s="24"/>
    </row>
    <row r="29" customFormat="false" ht="43.5" hidden="false" customHeight="true" outlineLevel="0" collapsed="false">
      <c r="A29" s="17" t="s">
        <v>340</v>
      </c>
      <c r="B29" s="18" t="s">
        <v>56</v>
      </c>
      <c r="C29" s="19" t="n">
        <v>1</v>
      </c>
      <c r="D29" s="18" t="s">
        <v>58</v>
      </c>
      <c r="E29" s="17" t="str">
        <f aca="false">INDEX(Roster!$B$5:$B$14,MATCH($D29,Roster!$A$5:$A$14,0))</f>
        <v>Reader 04</v>
      </c>
      <c r="F29" s="20" t="s">
        <v>341</v>
      </c>
      <c r="G29" s="17" t="s">
        <v>342</v>
      </c>
      <c r="H29" s="20" t="s">
        <v>343</v>
      </c>
      <c r="I29" s="18" t="n">
        <v>2026</v>
      </c>
      <c r="J29" s="17" t="s">
        <v>344</v>
      </c>
      <c r="K29" s="20" t="s">
        <v>108</v>
      </c>
      <c r="L29" s="17" t="s">
        <v>345</v>
      </c>
      <c r="M29" s="21" t="s">
        <v>346</v>
      </c>
      <c r="N29" s="18" t="s">
        <v>132</v>
      </c>
      <c r="O29" s="20" t="s">
        <v>347</v>
      </c>
      <c r="P29" s="20" t="s">
        <v>348</v>
      </c>
      <c r="Q29" s="22" t="s">
        <v>114</v>
      </c>
      <c r="R29" s="23" t="n">
        <v>46247</v>
      </c>
      <c r="S29" s="22"/>
      <c r="T29" s="24"/>
      <c r="U29" s="25"/>
      <c r="V29" s="25"/>
      <c r="W29" s="22"/>
      <c r="X29" s="24"/>
    </row>
    <row r="30" customFormat="false" ht="43.5" hidden="false" customHeight="true" outlineLevel="0" collapsed="false">
      <c r="A30" s="26" t="s">
        <v>349</v>
      </c>
      <c r="B30" s="27" t="s">
        <v>56</v>
      </c>
      <c r="C30" s="28" t="n">
        <v>1</v>
      </c>
      <c r="D30" s="27" t="s">
        <v>54</v>
      </c>
      <c r="E30" s="26" t="str">
        <f aca="false">INDEX(Roster!$B$5:$B$14,MATCH($D30,Roster!$A$5:$A$14,0))</f>
        <v>Reader 03</v>
      </c>
      <c r="F30" s="29" t="s">
        <v>350</v>
      </c>
      <c r="G30" s="26" t="s">
        <v>351</v>
      </c>
      <c r="H30" s="29" t="s">
        <v>352</v>
      </c>
      <c r="I30" s="27" t="n">
        <v>2026</v>
      </c>
      <c r="J30" s="26" t="s">
        <v>353</v>
      </c>
      <c r="K30" s="29" t="s">
        <v>354</v>
      </c>
      <c r="L30" s="26" t="s">
        <v>355</v>
      </c>
      <c r="M30" s="30" t="s">
        <v>356</v>
      </c>
      <c r="N30" s="27" t="s">
        <v>132</v>
      </c>
      <c r="O30" s="29" t="s">
        <v>357</v>
      </c>
      <c r="P30" s="29" t="s">
        <v>358</v>
      </c>
      <c r="Q30" s="22" t="s">
        <v>114</v>
      </c>
      <c r="R30" s="23" t="n">
        <v>46247</v>
      </c>
      <c r="S30" s="22"/>
      <c r="T30" s="24"/>
      <c r="U30" s="25"/>
      <c r="V30" s="25"/>
      <c r="W30" s="22"/>
      <c r="X30" s="24"/>
    </row>
    <row r="31" customFormat="false" ht="43.5" hidden="false" customHeight="true" outlineLevel="0" collapsed="false">
      <c r="A31" s="17" t="s">
        <v>359</v>
      </c>
      <c r="B31" s="18" t="s">
        <v>56</v>
      </c>
      <c r="C31" s="19" t="n">
        <v>1</v>
      </c>
      <c r="D31" s="18" t="s">
        <v>58</v>
      </c>
      <c r="E31" s="17" t="str">
        <f aca="false">INDEX(Roster!$B$5:$B$14,MATCH($D31,Roster!$A$5:$A$14,0))</f>
        <v>Reader 04</v>
      </c>
      <c r="F31" s="20" t="s">
        <v>360</v>
      </c>
      <c r="G31" s="17" t="s">
        <v>361</v>
      </c>
      <c r="H31" s="20" t="s">
        <v>362</v>
      </c>
      <c r="I31" s="18" t="n">
        <v>2026</v>
      </c>
      <c r="J31" s="17" t="s">
        <v>363</v>
      </c>
      <c r="K31" s="20" t="s">
        <v>108</v>
      </c>
      <c r="L31" s="17" t="s">
        <v>364</v>
      </c>
      <c r="M31" s="21" t="s">
        <v>365</v>
      </c>
      <c r="N31" s="18" t="s">
        <v>132</v>
      </c>
      <c r="O31" s="20" t="s">
        <v>366</v>
      </c>
      <c r="P31" s="20" t="s">
        <v>367</v>
      </c>
      <c r="Q31" s="22" t="s">
        <v>114</v>
      </c>
      <c r="R31" s="23" t="n">
        <v>46247</v>
      </c>
      <c r="S31" s="22"/>
      <c r="T31" s="24"/>
      <c r="U31" s="25"/>
      <c r="V31" s="25"/>
      <c r="W31" s="22"/>
      <c r="X31" s="24"/>
    </row>
    <row r="32" customFormat="false" ht="43.5" hidden="false" customHeight="true" outlineLevel="0" collapsed="false">
      <c r="A32" s="26" t="s">
        <v>368</v>
      </c>
      <c r="B32" s="27" t="s">
        <v>56</v>
      </c>
      <c r="C32" s="31" t="n">
        <v>2</v>
      </c>
      <c r="D32" s="27" t="s">
        <v>54</v>
      </c>
      <c r="E32" s="26" t="str">
        <f aca="false">INDEX(Roster!$B$5:$B$14,MATCH($D32,Roster!$A$5:$A$14,0))</f>
        <v>Reader 03</v>
      </c>
      <c r="F32" s="29" t="s">
        <v>369</v>
      </c>
      <c r="G32" s="26" t="s">
        <v>370</v>
      </c>
      <c r="H32" s="29" t="s">
        <v>371</v>
      </c>
      <c r="I32" s="27" t="n">
        <v>2023</v>
      </c>
      <c r="J32" s="26" t="s">
        <v>372</v>
      </c>
      <c r="K32" s="29" t="s">
        <v>373</v>
      </c>
      <c r="L32" s="26" t="s">
        <v>374</v>
      </c>
      <c r="M32" s="30" t="s">
        <v>375</v>
      </c>
      <c r="N32" s="27" t="s">
        <v>132</v>
      </c>
      <c r="O32" s="29" t="s">
        <v>376</v>
      </c>
      <c r="P32" s="29" t="s">
        <v>377</v>
      </c>
      <c r="Q32" s="22" t="s">
        <v>114</v>
      </c>
      <c r="R32" s="23" t="n">
        <v>46268</v>
      </c>
      <c r="S32" s="22"/>
      <c r="T32" s="24"/>
      <c r="U32" s="25"/>
      <c r="V32" s="25"/>
      <c r="W32" s="22"/>
      <c r="X32" s="24"/>
    </row>
    <row r="33" customFormat="false" ht="43.5" hidden="false" customHeight="true" outlineLevel="0" collapsed="false">
      <c r="A33" s="17" t="s">
        <v>378</v>
      </c>
      <c r="B33" s="18" t="s">
        <v>56</v>
      </c>
      <c r="C33" s="32" t="n">
        <v>2</v>
      </c>
      <c r="D33" s="18" t="s">
        <v>58</v>
      </c>
      <c r="E33" s="17" t="str">
        <f aca="false">INDEX(Roster!$B$5:$B$14,MATCH($D33,Roster!$A$5:$A$14,0))</f>
        <v>Reader 04</v>
      </c>
      <c r="F33" s="20" t="s">
        <v>379</v>
      </c>
      <c r="G33" s="17" t="s">
        <v>380</v>
      </c>
      <c r="H33" s="20" t="s">
        <v>381</v>
      </c>
      <c r="I33" s="18" t="n">
        <v>2024</v>
      </c>
      <c r="J33" s="17" t="s">
        <v>382</v>
      </c>
      <c r="K33" s="20" t="s">
        <v>108</v>
      </c>
      <c r="L33" s="17" t="s">
        <v>383</v>
      </c>
      <c r="M33" s="21" t="s">
        <v>384</v>
      </c>
      <c r="N33" s="18" t="s">
        <v>132</v>
      </c>
      <c r="O33" s="20" t="s">
        <v>385</v>
      </c>
      <c r="P33" s="20" t="s">
        <v>386</v>
      </c>
      <c r="Q33" s="22" t="s">
        <v>114</v>
      </c>
      <c r="R33" s="23" t="n">
        <v>46268</v>
      </c>
      <c r="S33" s="22"/>
      <c r="T33" s="24"/>
      <c r="U33" s="25"/>
      <c r="V33" s="25"/>
      <c r="W33" s="22"/>
      <c r="X33" s="24"/>
    </row>
    <row r="34" customFormat="false" ht="43.5" hidden="false" customHeight="true" outlineLevel="0" collapsed="false">
      <c r="A34" s="26" t="s">
        <v>387</v>
      </c>
      <c r="B34" s="27" t="s">
        <v>56</v>
      </c>
      <c r="C34" s="31" t="n">
        <v>2</v>
      </c>
      <c r="D34" s="27" t="s">
        <v>54</v>
      </c>
      <c r="E34" s="26" t="str">
        <f aca="false">INDEX(Roster!$B$5:$B$14,MATCH($D34,Roster!$A$5:$A$14,0))</f>
        <v>Reader 03</v>
      </c>
      <c r="F34" s="29" t="s">
        <v>388</v>
      </c>
      <c r="G34" s="26" t="s">
        <v>389</v>
      </c>
      <c r="H34" s="29" t="s">
        <v>390</v>
      </c>
      <c r="I34" s="27" t="n">
        <v>2024</v>
      </c>
      <c r="J34" s="26" t="s">
        <v>391</v>
      </c>
      <c r="K34" s="29" t="s">
        <v>392</v>
      </c>
      <c r="L34" s="26" t="s">
        <v>393</v>
      </c>
      <c r="M34" s="30" t="s">
        <v>394</v>
      </c>
      <c r="N34" s="27" t="s">
        <v>111</v>
      </c>
      <c r="O34" s="29" t="s">
        <v>395</v>
      </c>
      <c r="P34" s="29" t="s">
        <v>396</v>
      </c>
      <c r="Q34" s="22" t="s">
        <v>114</v>
      </c>
      <c r="R34" s="23" t="n">
        <v>46268</v>
      </c>
      <c r="S34" s="22"/>
      <c r="T34" s="24"/>
      <c r="U34" s="25"/>
      <c r="V34" s="25"/>
      <c r="W34" s="22"/>
      <c r="X34" s="24"/>
    </row>
    <row r="35" customFormat="false" ht="43.5" hidden="false" customHeight="true" outlineLevel="0" collapsed="false">
      <c r="A35" s="17" t="s">
        <v>397</v>
      </c>
      <c r="B35" s="18" t="s">
        <v>56</v>
      </c>
      <c r="C35" s="32" t="n">
        <v>2</v>
      </c>
      <c r="D35" s="18" t="s">
        <v>58</v>
      </c>
      <c r="E35" s="17" t="str">
        <f aca="false">INDEX(Roster!$B$5:$B$14,MATCH($D35,Roster!$A$5:$A$14,0))</f>
        <v>Reader 04</v>
      </c>
      <c r="F35" s="20" t="s">
        <v>398</v>
      </c>
      <c r="G35" s="17" t="s">
        <v>399</v>
      </c>
      <c r="H35" s="20" t="s">
        <v>400</v>
      </c>
      <c r="I35" s="18" t="n">
        <v>2025</v>
      </c>
      <c r="J35" s="17" t="s">
        <v>401</v>
      </c>
      <c r="K35" s="20" t="s">
        <v>108</v>
      </c>
      <c r="L35" s="17" t="s">
        <v>402</v>
      </c>
      <c r="M35" s="21" t="s">
        <v>403</v>
      </c>
      <c r="N35" s="18" t="s">
        <v>132</v>
      </c>
      <c r="O35" s="20" t="s">
        <v>404</v>
      </c>
      <c r="P35" s="20" t="s">
        <v>405</v>
      </c>
      <c r="Q35" s="22" t="s">
        <v>114</v>
      </c>
      <c r="R35" s="23" t="n">
        <v>46268</v>
      </c>
      <c r="S35" s="22"/>
      <c r="T35" s="24"/>
      <c r="U35" s="25"/>
      <c r="V35" s="25"/>
      <c r="W35" s="22"/>
      <c r="X35" s="24"/>
    </row>
    <row r="36" customFormat="false" ht="43.5" hidden="false" customHeight="true" outlineLevel="0" collapsed="false">
      <c r="A36" s="26" t="s">
        <v>406</v>
      </c>
      <c r="B36" s="27" t="s">
        <v>56</v>
      </c>
      <c r="C36" s="31" t="n">
        <v>2</v>
      </c>
      <c r="D36" s="27" t="s">
        <v>54</v>
      </c>
      <c r="E36" s="26" t="str">
        <f aca="false">INDEX(Roster!$B$5:$B$14,MATCH($D36,Roster!$A$5:$A$14,0))</f>
        <v>Reader 03</v>
      </c>
      <c r="F36" s="29" t="s">
        <v>407</v>
      </c>
      <c r="G36" s="26" t="s">
        <v>408</v>
      </c>
      <c r="H36" s="29" t="s">
        <v>409</v>
      </c>
      <c r="I36" s="27" t="n">
        <v>2025</v>
      </c>
      <c r="J36" s="26" t="s">
        <v>410</v>
      </c>
      <c r="K36" s="29" t="s">
        <v>108</v>
      </c>
      <c r="L36" s="26" t="s">
        <v>411</v>
      </c>
      <c r="M36" s="30" t="s">
        <v>412</v>
      </c>
      <c r="N36" s="27" t="s">
        <v>132</v>
      </c>
      <c r="O36" s="29" t="s">
        <v>413</v>
      </c>
      <c r="P36" s="29" t="s">
        <v>414</v>
      </c>
      <c r="Q36" s="22" t="s">
        <v>114</v>
      </c>
      <c r="R36" s="23" t="n">
        <v>46268</v>
      </c>
      <c r="S36" s="22"/>
      <c r="T36" s="24"/>
      <c r="U36" s="25"/>
      <c r="V36" s="25"/>
      <c r="W36" s="22"/>
      <c r="X36" s="24"/>
    </row>
    <row r="37" customFormat="false" ht="43.5" hidden="false" customHeight="true" outlineLevel="0" collapsed="false">
      <c r="A37" s="17" t="s">
        <v>415</v>
      </c>
      <c r="B37" s="18" t="s">
        <v>56</v>
      </c>
      <c r="C37" s="32" t="n">
        <v>2</v>
      </c>
      <c r="D37" s="18" t="s">
        <v>58</v>
      </c>
      <c r="E37" s="17" t="str">
        <f aca="false">INDEX(Roster!$B$5:$B$14,MATCH($D37,Roster!$A$5:$A$14,0))</f>
        <v>Reader 04</v>
      </c>
      <c r="F37" s="20" t="s">
        <v>416</v>
      </c>
      <c r="G37" s="17" t="s">
        <v>417</v>
      </c>
      <c r="H37" s="20" t="s">
        <v>418</v>
      </c>
      <c r="I37" s="18" t="n">
        <v>2025</v>
      </c>
      <c r="J37" s="17" t="s">
        <v>419</v>
      </c>
      <c r="K37" s="20" t="s">
        <v>420</v>
      </c>
      <c r="L37" s="17" t="s">
        <v>421</v>
      </c>
      <c r="M37" s="21" t="s">
        <v>422</v>
      </c>
      <c r="N37" s="18" t="s">
        <v>132</v>
      </c>
      <c r="O37" s="20" t="s">
        <v>423</v>
      </c>
      <c r="P37" s="20" t="s">
        <v>424</v>
      </c>
      <c r="Q37" s="22" t="s">
        <v>114</v>
      </c>
      <c r="R37" s="23" t="n">
        <v>46268</v>
      </c>
      <c r="S37" s="22"/>
      <c r="T37" s="24"/>
      <c r="U37" s="25"/>
      <c r="V37" s="25"/>
      <c r="W37" s="22"/>
      <c r="X37" s="24"/>
    </row>
    <row r="38" customFormat="false" ht="43.5" hidden="false" customHeight="true" outlineLevel="0" collapsed="false">
      <c r="A38" s="26" t="s">
        <v>425</v>
      </c>
      <c r="B38" s="27" t="s">
        <v>56</v>
      </c>
      <c r="C38" s="31" t="n">
        <v>2</v>
      </c>
      <c r="D38" s="27" t="s">
        <v>54</v>
      </c>
      <c r="E38" s="26" t="str">
        <f aca="false">INDEX(Roster!$B$5:$B$14,MATCH($D38,Roster!$A$5:$A$14,0))</f>
        <v>Reader 03</v>
      </c>
      <c r="F38" s="29" t="s">
        <v>426</v>
      </c>
      <c r="G38" s="26" t="s">
        <v>427</v>
      </c>
      <c r="H38" s="29" t="s">
        <v>428</v>
      </c>
      <c r="I38" s="27" t="n">
        <v>2025</v>
      </c>
      <c r="J38" s="26" t="s">
        <v>429</v>
      </c>
      <c r="K38" s="29" t="s">
        <v>430</v>
      </c>
      <c r="L38" s="26" t="s">
        <v>431</v>
      </c>
      <c r="M38" s="30" t="s">
        <v>432</v>
      </c>
      <c r="N38" s="27" t="s">
        <v>132</v>
      </c>
      <c r="O38" s="29" t="s">
        <v>433</v>
      </c>
      <c r="P38" s="29" t="s">
        <v>434</v>
      </c>
      <c r="Q38" s="22" t="s">
        <v>114</v>
      </c>
      <c r="R38" s="23" t="n">
        <v>46268</v>
      </c>
      <c r="S38" s="22"/>
      <c r="T38" s="24"/>
      <c r="U38" s="25"/>
      <c r="V38" s="25"/>
      <c r="W38" s="22"/>
      <c r="X38" s="24"/>
    </row>
    <row r="39" customFormat="false" ht="43.5" hidden="false" customHeight="true" outlineLevel="0" collapsed="false">
      <c r="A39" s="17" t="s">
        <v>435</v>
      </c>
      <c r="B39" s="18" t="s">
        <v>56</v>
      </c>
      <c r="C39" s="32" t="n">
        <v>2</v>
      </c>
      <c r="D39" s="18" t="s">
        <v>58</v>
      </c>
      <c r="E39" s="17" t="str">
        <f aca="false">INDEX(Roster!$B$5:$B$14,MATCH($D39,Roster!$A$5:$A$14,0))</f>
        <v>Reader 04</v>
      </c>
      <c r="F39" s="20" t="s">
        <v>436</v>
      </c>
      <c r="G39" s="17" t="s">
        <v>437</v>
      </c>
      <c r="H39" s="20" t="s">
        <v>438</v>
      </c>
      <c r="I39" s="18" t="n">
        <v>2025</v>
      </c>
      <c r="J39" s="17" t="s">
        <v>439</v>
      </c>
      <c r="K39" s="20" t="s">
        <v>108</v>
      </c>
      <c r="L39" s="17" t="s">
        <v>440</v>
      </c>
      <c r="M39" s="21" t="s">
        <v>441</v>
      </c>
      <c r="N39" s="18" t="s">
        <v>132</v>
      </c>
      <c r="O39" s="20" t="s">
        <v>442</v>
      </c>
      <c r="P39" s="20" t="s">
        <v>443</v>
      </c>
      <c r="Q39" s="22" t="s">
        <v>114</v>
      </c>
      <c r="R39" s="23" t="n">
        <v>46268</v>
      </c>
      <c r="S39" s="22"/>
      <c r="T39" s="24"/>
      <c r="U39" s="25"/>
      <c r="V39" s="25"/>
      <c r="W39" s="22"/>
      <c r="X39" s="24"/>
    </row>
    <row r="40" customFormat="false" ht="43.5" hidden="false" customHeight="true" outlineLevel="0" collapsed="false">
      <c r="A40" s="26" t="s">
        <v>444</v>
      </c>
      <c r="B40" s="27" t="s">
        <v>56</v>
      </c>
      <c r="C40" s="31" t="n">
        <v>2</v>
      </c>
      <c r="D40" s="27" t="s">
        <v>54</v>
      </c>
      <c r="E40" s="26" t="str">
        <f aca="false">INDEX(Roster!$B$5:$B$14,MATCH($D40,Roster!$A$5:$A$14,0))</f>
        <v>Reader 03</v>
      </c>
      <c r="F40" s="29" t="s">
        <v>445</v>
      </c>
      <c r="G40" s="26" t="s">
        <v>446</v>
      </c>
      <c r="H40" s="29" t="s">
        <v>447</v>
      </c>
      <c r="I40" s="27" t="n">
        <v>2026</v>
      </c>
      <c r="J40" s="26" t="s">
        <v>238</v>
      </c>
      <c r="K40" s="29" t="s">
        <v>108</v>
      </c>
      <c r="L40" s="26" t="s">
        <v>448</v>
      </c>
      <c r="M40" s="30" t="s">
        <v>449</v>
      </c>
      <c r="N40" s="27" t="s">
        <v>132</v>
      </c>
      <c r="O40" s="29" t="s">
        <v>450</v>
      </c>
      <c r="P40" s="29" t="s">
        <v>451</v>
      </c>
      <c r="Q40" s="22" t="s">
        <v>114</v>
      </c>
      <c r="R40" s="23" t="n">
        <v>46268</v>
      </c>
      <c r="S40" s="22"/>
      <c r="T40" s="24"/>
      <c r="U40" s="25"/>
      <c r="V40" s="25"/>
      <c r="W40" s="22"/>
      <c r="X40" s="24"/>
    </row>
    <row r="41" customFormat="false" ht="43.5" hidden="false" customHeight="true" outlineLevel="0" collapsed="false">
      <c r="A41" s="17" t="s">
        <v>452</v>
      </c>
      <c r="B41" s="18" t="s">
        <v>56</v>
      </c>
      <c r="C41" s="32" t="n">
        <v>2</v>
      </c>
      <c r="D41" s="18" t="s">
        <v>58</v>
      </c>
      <c r="E41" s="17" t="str">
        <f aca="false">INDEX(Roster!$B$5:$B$14,MATCH($D41,Roster!$A$5:$A$14,0))</f>
        <v>Reader 04</v>
      </c>
      <c r="F41" s="20" t="s">
        <v>453</v>
      </c>
      <c r="G41" s="17" t="s">
        <v>454</v>
      </c>
      <c r="H41" s="20" t="s">
        <v>455</v>
      </c>
      <c r="I41" s="18" t="n">
        <v>2026</v>
      </c>
      <c r="J41" s="17" t="s">
        <v>456</v>
      </c>
      <c r="K41" s="20" t="s">
        <v>108</v>
      </c>
      <c r="L41" s="17" t="s">
        <v>457</v>
      </c>
      <c r="M41" s="21" t="s">
        <v>458</v>
      </c>
      <c r="N41" s="18" t="s">
        <v>122</v>
      </c>
      <c r="O41" s="20" t="s">
        <v>459</v>
      </c>
      <c r="P41" s="20" t="s">
        <v>460</v>
      </c>
      <c r="Q41" s="22" t="s">
        <v>114</v>
      </c>
      <c r="R41" s="23" t="n">
        <v>46268</v>
      </c>
      <c r="S41" s="22"/>
      <c r="T41" s="24"/>
      <c r="U41" s="25"/>
      <c r="V41" s="25"/>
      <c r="W41" s="22"/>
      <c r="X41" s="24"/>
    </row>
    <row r="42" customFormat="false" ht="43.5" hidden="false" customHeight="true" outlineLevel="0" collapsed="false">
      <c r="A42" s="26" t="s">
        <v>461</v>
      </c>
      <c r="B42" s="27" t="s">
        <v>56</v>
      </c>
      <c r="C42" s="31" t="n">
        <v>2</v>
      </c>
      <c r="D42" s="27" t="s">
        <v>54</v>
      </c>
      <c r="E42" s="26" t="str">
        <f aca="false">INDEX(Roster!$B$5:$B$14,MATCH($D42,Roster!$A$5:$A$14,0))</f>
        <v>Reader 03</v>
      </c>
      <c r="F42" s="29" t="s">
        <v>462</v>
      </c>
      <c r="G42" s="26" t="s">
        <v>463</v>
      </c>
      <c r="H42" s="29" t="s">
        <v>463</v>
      </c>
      <c r="I42" s="27" t="n">
        <v>2026</v>
      </c>
      <c r="J42" s="26" t="s">
        <v>464</v>
      </c>
      <c r="K42" s="29" t="s">
        <v>465</v>
      </c>
      <c r="L42" s="26" t="s">
        <v>466</v>
      </c>
      <c r="M42" s="30" t="s">
        <v>467</v>
      </c>
      <c r="N42" s="27" t="s">
        <v>132</v>
      </c>
      <c r="O42" s="29" t="s">
        <v>468</v>
      </c>
      <c r="P42" s="29" t="s">
        <v>469</v>
      </c>
      <c r="Q42" s="22" t="s">
        <v>114</v>
      </c>
      <c r="R42" s="23" t="n">
        <v>46268</v>
      </c>
      <c r="S42" s="22"/>
      <c r="T42" s="24"/>
      <c r="U42" s="25"/>
      <c r="V42" s="25"/>
      <c r="W42" s="22"/>
      <c r="X42" s="24"/>
    </row>
    <row r="43" customFormat="false" ht="43.5" hidden="false" customHeight="true" outlineLevel="0" collapsed="false">
      <c r="A43" s="17" t="s">
        <v>470</v>
      </c>
      <c r="B43" s="18" t="s">
        <v>56</v>
      </c>
      <c r="C43" s="32" t="n">
        <v>2</v>
      </c>
      <c r="D43" s="18" t="s">
        <v>58</v>
      </c>
      <c r="E43" s="17" t="str">
        <f aca="false">INDEX(Roster!$B$5:$B$14,MATCH($D43,Roster!$A$5:$A$14,0))</f>
        <v>Reader 04</v>
      </c>
      <c r="F43" s="20" t="s">
        <v>471</v>
      </c>
      <c r="G43" s="17" t="s">
        <v>472</v>
      </c>
      <c r="H43" s="20" t="s">
        <v>473</v>
      </c>
      <c r="I43" s="18" t="n">
        <v>2026</v>
      </c>
      <c r="J43" s="17" t="s">
        <v>363</v>
      </c>
      <c r="K43" s="20" t="s">
        <v>474</v>
      </c>
      <c r="L43" s="17" t="s">
        <v>475</v>
      </c>
      <c r="M43" s="21" t="s">
        <v>476</v>
      </c>
      <c r="N43" s="18" t="s">
        <v>132</v>
      </c>
      <c r="O43" s="20" t="s">
        <v>477</v>
      </c>
      <c r="P43" s="20" t="s">
        <v>478</v>
      </c>
      <c r="Q43" s="22" t="s">
        <v>114</v>
      </c>
      <c r="R43" s="23" t="n">
        <v>46268</v>
      </c>
      <c r="S43" s="22"/>
      <c r="T43" s="24"/>
      <c r="U43" s="25"/>
      <c r="V43" s="25"/>
      <c r="W43" s="22"/>
      <c r="X43" s="24"/>
    </row>
    <row r="44" customFormat="false" ht="43.5" hidden="false" customHeight="true" outlineLevel="0" collapsed="false">
      <c r="A44" s="26" t="s">
        <v>479</v>
      </c>
      <c r="B44" s="27" t="s">
        <v>56</v>
      </c>
      <c r="C44" s="33" t="n">
        <v>3</v>
      </c>
      <c r="D44" s="27" t="s">
        <v>54</v>
      </c>
      <c r="E44" s="26" t="str">
        <f aca="false">INDEX(Roster!$B$5:$B$14,MATCH($D44,Roster!$A$5:$A$14,0))</f>
        <v>Reader 03</v>
      </c>
      <c r="F44" s="29" t="s">
        <v>480</v>
      </c>
      <c r="G44" s="26" t="s">
        <v>481</v>
      </c>
      <c r="H44" s="29" t="s">
        <v>482</v>
      </c>
      <c r="I44" s="27" t="n">
        <v>2025</v>
      </c>
      <c r="J44" s="26" t="s">
        <v>483</v>
      </c>
      <c r="K44" s="29" t="s">
        <v>108</v>
      </c>
      <c r="L44" s="26" t="s">
        <v>484</v>
      </c>
      <c r="M44" s="30" t="s">
        <v>485</v>
      </c>
      <c r="N44" s="27" t="s">
        <v>111</v>
      </c>
      <c r="O44" s="29" t="s">
        <v>486</v>
      </c>
      <c r="P44" s="29" t="s">
        <v>487</v>
      </c>
      <c r="Q44" s="22" t="s">
        <v>114</v>
      </c>
      <c r="R44" s="23" t="n">
        <v>46289</v>
      </c>
      <c r="S44" s="22"/>
      <c r="T44" s="24"/>
      <c r="U44" s="25"/>
      <c r="V44" s="25"/>
      <c r="W44" s="22"/>
      <c r="X44" s="24"/>
    </row>
    <row r="45" customFormat="false" ht="43.5" hidden="false" customHeight="true" outlineLevel="0" collapsed="false">
      <c r="A45" s="17" t="s">
        <v>488</v>
      </c>
      <c r="B45" s="18" t="s">
        <v>56</v>
      </c>
      <c r="C45" s="34" t="n">
        <v>3</v>
      </c>
      <c r="D45" s="18" t="s">
        <v>58</v>
      </c>
      <c r="E45" s="17" t="str">
        <f aca="false">INDEX(Roster!$B$5:$B$14,MATCH($D45,Roster!$A$5:$A$14,0))</f>
        <v>Reader 04</v>
      </c>
      <c r="F45" s="20" t="s">
        <v>489</v>
      </c>
      <c r="G45" s="17" t="s">
        <v>490</v>
      </c>
      <c r="H45" s="20" t="s">
        <v>491</v>
      </c>
      <c r="I45" s="18" t="n">
        <v>2025</v>
      </c>
      <c r="J45" s="17" t="s">
        <v>492</v>
      </c>
      <c r="K45" s="20" t="s">
        <v>108</v>
      </c>
      <c r="L45" s="17" t="s">
        <v>493</v>
      </c>
      <c r="M45" s="21" t="s">
        <v>494</v>
      </c>
      <c r="N45" s="18" t="s">
        <v>122</v>
      </c>
      <c r="O45" s="20" t="s">
        <v>495</v>
      </c>
      <c r="P45" s="20" t="s">
        <v>496</v>
      </c>
      <c r="Q45" s="22" t="s">
        <v>114</v>
      </c>
      <c r="R45" s="23" t="n">
        <v>46289</v>
      </c>
      <c r="S45" s="22"/>
      <c r="T45" s="24"/>
      <c r="U45" s="25"/>
      <c r="V45" s="25"/>
      <c r="W45" s="22"/>
      <c r="X45" s="24"/>
    </row>
    <row r="46" customFormat="false" ht="43.5" hidden="false" customHeight="true" outlineLevel="0" collapsed="false">
      <c r="A46" s="26" t="s">
        <v>497</v>
      </c>
      <c r="B46" s="27" t="s">
        <v>56</v>
      </c>
      <c r="C46" s="33" t="n">
        <v>3</v>
      </c>
      <c r="D46" s="27" t="s">
        <v>54</v>
      </c>
      <c r="E46" s="26" t="str">
        <f aca="false">INDEX(Roster!$B$5:$B$14,MATCH($D46,Roster!$A$5:$A$14,0))</f>
        <v>Reader 03</v>
      </c>
      <c r="F46" s="29" t="s">
        <v>498</v>
      </c>
      <c r="G46" s="26" t="s">
        <v>499</v>
      </c>
      <c r="H46" s="29" t="s">
        <v>500</v>
      </c>
      <c r="I46" s="27" t="n">
        <v>2025</v>
      </c>
      <c r="J46" s="26" t="s">
        <v>501</v>
      </c>
      <c r="K46" s="29" t="s">
        <v>502</v>
      </c>
      <c r="L46" s="26" t="s">
        <v>503</v>
      </c>
      <c r="M46" s="30" t="s">
        <v>504</v>
      </c>
      <c r="N46" s="27" t="s">
        <v>132</v>
      </c>
      <c r="O46" s="29" t="s">
        <v>505</v>
      </c>
      <c r="P46" s="29" t="s">
        <v>506</v>
      </c>
      <c r="Q46" s="22" t="s">
        <v>114</v>
      </c>
      <c r="R46" s="23" t="n">
        <v>46289</v>
      </c>
      <c r="S46" s="22"/>
      <c r="T46" s="24"/>
      <c r="U46" s="25"/>
      <c r="V46" s="25"/>
      <c r="W46" s="22"/>
      <c r="X46" s="24"/>
    </row>
    <row r="47" customFormat="false" ht="43.5" hidden="false" customHeight="true" outlineLevel="0" collapsed="false">
      <c r="A47" s="17" t="s">
        <v>507</v>
      </c>
      <c r="B47" s="18" t="s">
        <v>56</v>
      </c>
      <c r="C47" s="34" t="n">
        <v>3</v>
      </c>
      <c r="D47" s="18" t="s">
        <v>58</v>
      </c>
      <c r="E47" s="17" t="str">
        <f aca="false">INDEX(Roster!$B$5:$B$14,MATCH($D47,Roster!$A$5:$A$14,0))</f>
        <v>Reader 04</v>
      </c>
      <c r="F47" s="20" t="s">
        <v>508</v>
      </c>
      <c r="G47" s="17" t="s">
        <v>509</v>
      </c>
      <c r="H47" s="20" t="s">
        <v>510</v>
      </c>
      <c r="I47" s="18" t="n">
        <v>2025</v>
      </c>
      <c r="J47" s="17" t="s">
        <v>511</v>
      </c>
      <c r="K47" s="20" t="s">
        <v>512</v>
      </c>
      <c r="L47" s="17" t="s">
        <v>513</v>
      </c>
      <c r="M47" s="21" t="s">
        <v>514</v>
      </c>
      <c r="N47" s="18" t="s">
        <v>132</v>
      </c>
      <c r="O47" s="20" t="s">
        <v>515</v>
      </c>
      <c r="P47" s="20" t="s">
        <v>516</v>
      </c>
      <c r="Q47" s="22" t="s">
        <v>114</v>
      </c>
      <c r="R47" s="23" t="n">
        <v>46289</v>
      </c>
      <c r="S47" s="22"/>
      <c r="T47" s="24"/>
      <c r="U47" s="25"/>
      <c r="V47" s="25"/>
      <c r="W47" s="22"/>
      <c r="X47" s="24"/>
    </row>
    <row r="48" customFormat="false" ht="43.5" hidden="false" customHeight="true" outlineLevel="0" collapsed="false">
      <c r="A48" s="26" t="s">
        <v>517</v>
      </c>
      <c r="B48" s="27" t="s">
        <v>56</v>
      </c>
      <c r="C48" s="33" t="n">
        <v>3</v>
      </c>
      <c r="D48" s="27" t="s">
        <v>54</v>
      </c>
      <c r="E48" s="26" t="str">
        <f aca="false">INDEX(Roster!$B$5:$B$14,MATCH($D48,Roster!$A$5:$A$14,0))</f>
        <v>Reader 03</v>
      </c>
      <c r="F48" s="29" t="s">
        <v>518</v>
      </c>
      <c r="G48" s="26" t="s">
        <v>519</v>
      </c>
      <c r="H48" s="29" t="s">
        <v>520</v>
      </c>
      <c r="I48" s="27" t="n">
        <v>2025</v>
      </c>
      <c r="J48" s="26" t="s">
        <v>521</v>
      </c>
      <c r="K48" s="29" t="s">
        <v>522</v>
      </c>
      <c r="L48" s="26" t="s">
        <v>523</v>
      </c>
      <c r="M48" s="30" t="s">
        <v>524</v>
      </c>
      <c r="N48" s="27" t="s">
        <v>111</v>
      </c>
      <c r="O48" s="29" t="s">
        <v>525</v>
      </c>
      <c r="P48" s="29" t="s">
        <v>526</v>
      </c>
      <c r="Q48" s="22" t="s">
        <v>114</v>
      </c>
      <c r="R48" s="23" t="n">
        <v>46289</v>
      </c>
      <c r="S48" s="22"/>
      <c r="T48" s="24"/>
      <c r="U48" s="25"/>
      <c r="V48" s="25"/>
      <c r="W48" s="22"/>
      <c r="X48" s="24"/>
    </row>
    <row r="49" customFormat="false" ht="43.5" hidden="false" customHeight="true" outlineLevel="0" collapsed="false">
      <c r="A49" s="17" t="s">
        <v>527</v>
      </c>
      <c r="B49" s="18" t="s">
        <v>56</v>
      </c>
      <c r="C49" s="34" t="n">
        <v>3</v>
      </c>
      <c r="D49" s="18" t="s">
        <v>58</v>
      </c>
      <c r="E49" s="17" t="str">
        <f aca="false">INDEX(Roster!$B$5:$B$14,MATCH($D49,Roster!$A$5:$A$14,0))</f>
        <v>Reader 04</v>
      </c>
      <c r="F49" s="20" t="s">
        <v>528</v>
      </c>
      <c r="G49" s="17" t="s">
        <v>529</v>
      </c>
      <c r="H49" s="20" t="s">
        <v>530</v>
      </c>
      <c r="I49" s="18" t="n">
        <v>2026</v>
      </c>
      <c r="J49" s="17" t="s">
        <v>531</v>
      </c>
      <c r="K49" s="20" t="s">
        <v>532</v>
      </c>
      <c r="L49" s="17" t="s">
        <v>533</v>
      </c>
      <c r="M49" s="21" t="s">
        <v>534</v>
      </c>
      <c r="N49" s="18" t="s">
        <v>132</v>
      </c>
      <c r="O49" s="20" t="s">
        <v>535</v>
      </c>
      <c r="P49" s="20" t="s">
        <v>536</v>
      </c>
      <c r="Q49" s="22" t="s">
        <v>114</v>
      </c>
      <c r="R49" s="23" t="n">
        <v>46289</v>
      </c>
      <c r="S49" s="22"/>
      <c r="T49" s="24"/>
      <c r="U49" s="25"/>
      <c r="V49" s="25"/>
      <c r="W49" s="22"/>
      <c r="X49" s="24"/>
    </row>
    <row r="50" customFormat="false" ht="43.5" hidden="false" customHeight="true" outlineLevel="0" collapsed="false">
      <c r="A50" s="26" t="s">
        <v>537</v>
      </c>
      <c r="B50" s="27" t="s">
        <v>56</v>
      </c>
      <c r="C50" s="33" t="n">
        <v>3</v>
      </c>
      <c r="D50" s="27" t="s">
        <v>54</v>
      </c>
      <c r="E50" s="26" t="str">
        <f aca="false">INDEX(Roster!$B$5:$B$14,MATCH($D50,Roster!$A$5:$A$14,0))</f>
        <v>Reader 03</v>
      </c>
      <c r="F50" s="29" t="s">
        <v>538</v>
      </c>
      <c r="G50" s="26" t="s">
        <v>539</v>
      </c>
      <c r="H50" s="29" t="s">
        <v>540</v>
      </c>
      <c r="I50" s="27" t="n">
        <v>2026</v>
      </c>
      <c r="J50" s="26" t="s">
        <v>541</v>
      </c>
      <c r="K50" s="29" t="s">
        <v>108</v>
      </c>
      <c r="L50" s="26" t="s">
        <v>542</v>
      </c>
      <c r="M50" s="30" t="s">
        <v>543</v>
      </c>
      <c r="N50" s="27" t="s">
        <v>132</v>
      </c>
      <c r="O50" s="29" t="s">
        <v>544</v>
      </c>
      <c r="P50" s="29" t="s">
        <v>545</v>
      </c>
      <c r="Q50" s="22" t="s">
        <v>114</v>
      </c>
      <c r="R50" s="23" t="n">
        <v>46289</v>
      </c>
      <c r="S50" s="22"/>
      <c r="T50" s="24"/>
      <c r="U50" s="25"/>
      <c r="V50" s="25"/>
      <c r="W50" s="22"/>
      <c r="X50" s="24"/>
    </row>
    <row r="51" customFormat="false" ht="43.5" hidden="false" customHeight="true" outlineLevel="0" collapsed="false">
      <c r="A51" s="17" t="s">
        <v>546</v>
      </c>
      <c r="B51" s="18" t="s">
        <v>62</v>
      </c>
      <c r="C51" s="19" t="n">
        <v>1</v>
      </c>
      <c r="D51" s="18" t="s">
        <v>60</v>
      </c>
      <c r="E51" s="17" t="str">
        <f aca="false">INDEX(Roster!$B$5:$B$14,MATCH($D51,Roster!$A$5:$A$14,0))</f>
        <v>Reader 05</v>
      </c>
      <c r="F51" s="20" t="s">
        <v>547</v>
      </c>
      <c r="G51" s="17" t="s">
        <v>548</v>
      </c>
      <c r="H51" s="20" t="s">
        <v>549</v>
      </c>
      <c r="I51" s="18" t="n">
        <v>2021</v>
      </c>
      <c r="J51" s="17" t="s">
        <v>550</v>
      </c>
      <c r="K51" s="20" t="s">
        <v>551</v>
      </c>
      <c r="L51" s="17" t="s">
        <v>552</v>
      </c>
      <c r="M51" s="21" t="s">
        <v>553</v>
      </c>
      <c r="N51" s="18" t="s">
        <v>132</v>
      </c>
      <c r="O51" s="20" t="s">
        <v>554</v>
      </c>
      <c r="P51" s="20" t="s">
        <v>555</v>
      </c>
      <c r="Q51" s="22" t="s">
        <v>114</v>
      </c>
      <c r="R51" s="23" t="n">
        <v>46247</v>
      </c>
      <c r="S51" s="22"/>
      <c r="T51" s="24"/>
      <c r="U51" s="25"/>
      <c r="V51" s="25"/>
      <c r="W51" s="22"/>
      <c r="X51" s="24"/>
    </row>
    <row r="52" customFormat="false" ht="43.5" hidden="false" customHeight="true" outlineLevel="0" collapsed="false">
      <c r="A52" s="26" t="s">
        <v>556</v>
      </c>
      <c r="B52" s="27" t="s">
        <v>62</v>
      </c>
      <c r="C52" s="28" t="n">
        <v>1</v>
      </c>
      <c r="D52" s="27" t="s">
        <v>64</v>
      </c>
      <c r="E52" s="26" t="str">
        <f aca="false">INDEX(Roster!$B$5:$B$14,MATCH($D52,Roster!$A$5:$A$14,0))</f>
        <v>Reader 06</v>
      </c>
      <c r="F52" s="29" t="s">
        <v>557</v>
      </c>
      <c r="G52" s="26" t="s">
        <v>558</v>
      </c>
      <c r="H52" s="29" t="s">
        <v>559</v>
      </c>
      <c r="I52" s="27" t="n">
        <v>2024</v>
      </c>
      <c r="J52" s="26" t="s">
        <v>560</v>
      </c>
      <c r="K52" s="29" t="s">
        <v>561</v>
      </c>
      <c r="L52" s="26" t="s">
        <v>562</v>
      </c>
      <c r="M52" s="30" t="s">
        <v>563</v>
      </c>
      <c r="N52" s="27" t="s">
        <v>132</v>
      </c>
      <c r="O52" s="29" t="s">
        <v>564</v>
      </c>
      <c r="P52" s="29" t="s">
        <v>565</v>
      </c>
      <c r="Q52" s="22" t="s">
        <v>114</v>
      </c>
      <c r="R52" s="23" t="n">
        <v>46247</v>
      </c>
      <c r="S52" s="22"/>
      <c r="T52" s="24"/>
      <c r="U52" s="25"/>
      <c r="V52" s="25"/>
      <c r="W52" s="22"/>
      <c r="X52" s="24"/>
    </row>
    <row r="53" customFormat="false" ht="43.5" hidden="false" customHeight="true" outlineLevel="0" collapsed="false">
      <c r="A53" s="17" t="s">
        <v>566</v>
      </c>
      <c r="B53" s="18" t="s">
        <v>62</v>
      </c>
      <c r="C53" s="19" t="n">
        <v>1</v>
      </c>
      <c r="D53" s="18" t="s">
        <v>60</v>
      </c>
      <c r="E53" s="17" t="str">
        <f aca="false">INDEX(Roster!$B$5:$B$14,MATCH($D53,Roster!$A$5:$A$14,0))</f>
        <v>Reader 05</v>
      </c>
      <c r="F53" s="20" t="s">
        <v>567</v>
      </c>
      <c r="G53" s="17" t="s">
        <v>568</v>
      </c>
      <c r="H53" s="20" t="s">
        <v>569</v>
      </c>
      <c r="I53" s="18" t="n">
        <v>2025</v>
      </c>
      <c r="J53" s="17" t="s">
        <v>570</v>
      </c>
      <c r="K53" s="20" t="s">
        <v>571</v>
      </c>
      <c r="L53" s="17" t="s">
        <v>572</v>
      </c>
      <c r="M53" s="21" t="s">
        <v>573</v>
      </c>
      <c r="N53" s="18" t="s">
        <v>132</v>
      </c>
      <c r="O53" s="20" t="s">
        <v>574</v>
      </c>
      <c r="P53" s="20" t="s">
        <v>575</v>
      </c>
      <c r="Q53" s="22" t="s">
        <v>114</v>
      </c>
      <c r="R53" s="23" t="n">
        <v>46247</v>
      </c>
      <c r="S53" s="22"/>
      <c r="T53" s="24"/>
      <c r="U53" s="25"/>
      <c r="V53" s="25"/>
      <c r="W53" s="22"/>
      <c r="X53" s="24"/>
    </row>
    <row r="54" customFormat="false" ht="43.5" hidden="false" customHeight="true" outlineLevel="0" collapsed="false">
      <c r="A54" s="26" t="s">
        <v>576</v>
      </c>
      <c r="B54" s="27" t="s">
        <v>62</v>
      </c>
      <c r="C54" s="28" t="n">
        <v>1</v>
      </c>
      <c r="D54" s="27" t="s">
        <v>64</v>
      </c>
      <c r="E54" s="26" t="str">
        <f aca="false">INDEX(Roster!$B$5:$B$14,MATCH($D54,Roster!$A$5:$A$14,0))</f>
        <v>Reader 06</v>
      </c>
      <c r="F54" s="29" t="s">
        <v>577</v>
      </c>
      <c r="G54" s="26" t="s">
        <v>578</v>
      </c>
      <c r="H54" s="29" t="s">
        <v>579</v>
      </c>
      <c r="I54" s="27" t="n">
        <v>2025</v>
      </c>
      <c r="J54" s="26" t="s">
        <v>580</v>
      </c>
      <c r="K54" s="29" t="s">
        <v>581</v>
      </c>
      <c r="L54" s="26" t="s">
        <v>582</v>
      </c>
      <c r="M54" s="30" t="s">
        <v>583</v>
      </c>
      <c r="N54" s="27" t="s">
        <v>132</v>
      </c>
      <c r="O54" s="29" t="s">
        <v>584</v>
      </c>
      <c r="P54" s="29" t="s">
        <v>585</v>
      </c>
      <c r="Q54" s="22" t="s">
        <v>114</v>
      </c>
      <c r="R54" s="23" t="n">
        <v>46247</v>
      </c>
      <c r="S54" s="22"/>
      <c r="T54" s="24"/>
      <c r="U54" s="25"/>
      <c r="V54" s="25"/>
      <c r="W54" s="22"/>
      <c r="X54" s="24"/>
    </row>
    <row r="55" customFormat="false" ht="43.5" hidden="false" customHeight="true" outlineLevel="0" collapsed="false">
      <c r="A55" s="17" t="s">
        <v>586</v>
      </c>
      <c r="B55" s="18" t="s">
        <v>62</v>
      </c>
      <c r="C55" s="19" t="n">
        <v>1</v>
      </c>
      <c r="D55" s="18" t="s">
        <v>60</v>
      </c>
      <c r="E55" s="17" t="str">
        <f aca="false">INDEX(Roster!$B$5:$B$14,MATCH($D55,Roster!$A$5:$A$14,0))</f>
        <v>Reader 05</v>
      </c>
      <c r="F55" s="20" t="s">
        <v>587</v>
      </c>
      <c r="G55" s="17" t="s">
        <v>588</v>
      </c>
      <c r="H55" s="20" t="s">
        <v>589</v>
      </c>
      <c r="I55" s="18" t="n">
        <v>2026</v>
      </c>
      <c r="J55" s="17" t="s">
        <v>590</v>
      </c>
      <c r="K55" s="20" t="s">
        <v>108</v>
      </c>
      <c r="L55" s="17" t="s">
        <v>591</v>
      </c>
      <c r="M55" s="21" t="s">
        <v>592</v>
      </c>
      <c r="N55" s="18" t="s">
        <v>132</v>
      </c>
      <c r="O55" s="20" t="s">
        <v>593</v>
      </c>
      <c r="P55" s="20" t="s">
        <v>594</v>
      </c>
      <c r="Q55" s="22" t="s">
        <v>114</v>
      </c>
      <c r="R55" s="23" t="n">
        <v>46247</v>
      </c>
      <c r="S55" s="22"/>
      <c r="T55" s="24"/>
      <c r="U55" s="25"/>
      <c r="V55" s="25"/>
      <c r="W55" s="22"/>
      <c r="X55" s="24"/>
    </row>
    <row r="56" customFormat="false" ht="43.5" hidden="false" customHeight="true" outlineLevel="0" collapsed="false">
      <c r="A56" s="26" t="s">
        <v>595</v>
      </c>
      <c r="B56" s="27" t="s">
        <v>62</v>
      </c>
      <c r="C56" s="28" t="n">
        <v>1</v>
      </c>
      <c r="D56" s="27" t="s">
        <v>64</v>
      </c>
      <c r="E56" s="26" t="str">
        <f aca="false">INDEX(Roster!$B$5:$B$14,MATCH($D56,Roster!$A$5:$A$14,0))</f>
        <v>Reader 06</v>
      </c>
      <c r="F56" s="29" t="s">
        <v>596</v>
      </c>
      <c r="G56" s="26" t="s">
        <v>597</v>
      </c>
      <c r="H56" s="29" t="s">
        <v>598</v>
      </c>
      <c r="I56" s="27" t="n">
        <v>2026</v>
      </c>
      <c r="J56" s="26" t="s">
        <v>599</v>
      </c>
      <c r="K56" s="29" t="s">
        <v>108</v>
      </c>
      <c r="L56" s="26" t="s">
        <v>600</v>
      </c>
      <c r="M56" s="30" t="s">
        <v>601</v>
      </c>
      <c r="N56" s="27" t="s">
        <v>132</v>
      </c>
      <c r="O56" s="29" t="s">
        <v>602</v>
      </c>
      <c r="P56" s="29" t="s">
        <v>603</v>
      </c>
      <c r="Q56" s="22" t="s">
        <v>114</v>
      </c>
      <c r="R56" s="23" t="n">
        <v>46247</v>
      </c>
      <c r="S56" s="22"/>
      <c r="T56" s="24"/>
      <c r="U56" s="25"/>
      <c r="V56" s="25"/>
      <c r="W56" s="22"/>
      <c r="X56" s="24"/>
    </row>
    <row r="57" customFormat="false" ht="43.5" hidden="false" customHeight="true" outlineLevel="0" collapsed="false">
      <c r="A57" s="17" t="s">
        <v>604</v>
      </c>
      <c r="B57" s="18" t="s">
        <v>62</v>
      </c>
      <c r="C57" s="19" t="n">
        <v>1</v>
      </c>
      <c r="D57" s="18" t="s">
        <v>60</v>
      </c>
      <c r="E57" s="17" t="str">
        <f aca="false">INDEX(Roster!$B$5:$B$14,MATCH($D57,Roster!$A$5:$A$14,0))</f>
        <v>Reader 05</v>
      </c>
      <c r="F57" s="20" t="s">
        <v>605</v>
      </c>
      <c r="G57" s="17" t="s">
        <v>606</v>
      </c>
      <c r="H57" s="20" t="s">
        <v>607</v>
      </c>
      <c r="I57" s="18" t="n">
        <v>2026</v>
      </c>
      <c r="J57" s="17" t="s">
        <v>608</v>
      </c>
      <c r="K57" s="20" t="s">
        <v>609</v>
      </c>
      <c r="L57" s="17" t="s">
        <v>610</v>
      </c>
      <c r="M57" s="21" t="s">
        <v>611</v>
      </c>
      <c r="N57" s="18" t="s">
        <v>132</v>
      </c>
      <c r="O57" s="20" t="s">
        <v>612</v>
      </c>
      <c r="P57" s="20" t="s">
        <v>613</v>
      </c>
      <c r="Q57" s="22" t="s">
        <v>114</v>
      </c>
      <c r="R57" s="23" t="n">
        <v>46247</v>
      </c>
      <c r="S57" s="22"/>
      <c r="T57" s="24"/>
      <c r="U57" s="25"/>
      <c r="V57" s="25"/>
      <c r="W57" s="22"/>
      <c r="X57" s="24"/>
    </row>
    <row r="58" customFormat="false" ht="43.5" hidden="false" customHeight="true" outlineLevel="0" collapsed="false">
      <c r="A58" s="26" t="s">
        <v>614</v>
      </c>
      <c r="B58" s="27" t="s">
        <v>62</v>
      </c>
      <c r="C58" s="31" t="n">
        <v>2</v>
      </c>
      <c r="D58" s="27" t="s">
        <v>64</v>
      </c>
      <c r="E58" s="26" t="str">
        <f aca="false">INDEX(Roster!$B$5:$B$14,MATCH($D58,Roster!$A$5:$A$14,0))</f>
        <v>Reader 06</v>
      </c>
      <c r="F58" s="29" t="s">
        <v>615</v>
      </c>
      <c r="G58" s="26" t="s">
        <v>616</v>
      </c>
      <c r="H58" s="29" t="s">
        <v>617</v>
      </c>
      <c r="I58" s="27" t="n">
        <v>2022</v>
      </c>
      <c r="J58" s="26" t="s">
        <v>618</v>
      </c>
      <c r="K58" s="29" t="s">
        <v>108</v>
      </c>
      <c r="L58" s="26" t="s">
        <v>619</v>
      </c>
      <c r="M58" s="30" t="s">
        <v>620</v>
      </c>
      <c r="N58" s="27" t="s">
        <v>111</v>
      </c>
      <c r="O58" s="29" t="s">
        <v>621</v>
      </c>
      <c r="P58" s="29" t="s">
        <v>622</v>
      </c>
      <c r="Q58" s="22" t="s">
        <v>114</v>
      </c>
      <c r="R58" s="23" t="n">
        <v>46268</v>
      </c>
      <c r="S58" s="22"/>
      <c r="T58" s="24"/>
      <c r="U58" s="25"/>
      <c r="V58" s="25"/>
      <c r="W58" s="22"/>
      <c r="X58" s="24"/>
    </row>
    <row r="59" customFormat="false" ht="43.5" hidden="false" customHeight="true" outlineLevel="0" collapsed="false">
      <c r="A59" s="17" t="s">
        <v>623</v>
      </c>
      <c r="B59" s="18" t="s">
        <v>62</v>
      </c>
      <c r="C59" s="32" t="n">
        <v>2</v>
      </c>
      <c r="D59" s="18" t="s">
        <v>60</v>
      </c>
      <c r="E59" s="17" t="str">
        <f aca="false">INDEX(Roster!$B$5:$B$14,MATCH($D59,Roster!$A$5:$A$14,0))</f>
        <v>Reader 05</v>
      </c>
      <c r="F59" s="20" t="s">
        <v>624</v>
      </c>
      <c r="G59" s="17" t="s">
        <v>625</v>
      </c>
      <c r="H59" s="20" t="s">
        <v>626</v>
      </c>
      <c r="I59" s="18" t="n">
        <v>2024</v>
      </c>
      <c r="J59" s="17" t="s">
        <v>627</v>
      </c>
      <c r="K59" s="20" t="s">
        <v>628</v>
      </c>
      <c r="L59" s="17" t="s">
        <v>629</v>
      </c>
      <c r="M59" s="21" t="s">
        <v>630</v>
      </c>
      <c r="N59" s="18" t="s">
        <v>132</v>
      </c>
      <c r="O59" s="20" t="s">
        <v>631</v>
      </c>
      <c r="P59" s="20" t="s">
        <v>632</v>
      </c>
      <c r="Q59" s="22" t="s">
        <v>114</v>
      </c>
      <c r="R59" s="23" t="n">
        <v>46268</v>
      </c>
      <c r="S59" s="22"/>
      <c r="T59" s="24"/>
      <c r="U59" s="25"/>
      <c r="V59" s="25"/>
      <c r="W59" s="22"/>
      <c r="X59" s="24"/>
    </row>
    <row r="60" customFormat="false" ht="43.5" hidden="false" customHeight="true" outlineLevel="0" collapsed="false">
      <c r="A60" s="26" t="s">
        <v>633</v>
      </c>
      <c r="B60" s="27" t="s">
        <v>62</v>
      </c>
      <c r="C60" s="31" t="n">
        <v>2</v>
      </c>
      <c r="D60" s="27" t="s">
        <v>64</v>
      </c>
      <c r="E60" s="26" t="str">
        <f aca="false">INDEX(Roster!$B$5:$B$14,MATCH($D60,Roster!$A$5:$A$14,0))</f>
        <v>Reader 06</v>
      </c>
      <c r="F60" s="29" t="s">
        <v>634</v>
      </c>
      <c r="G60" s="26" t="s">
        <v>635</v>
      </c>
      <c r="H60" s="29" t="s">
        <v>636</v>
      </c>
      <c r="I60" s="27" t="n">
        <v>2024</v>
      </c>
      <c r="J60" s="26" t="s">
        <v>637</v>
      </c>
      <c r="K60" s="29" t="s">
        <v>108</v>
      </c>
      <c r="L60" s="26" t="s">
        <v>638</v>
      </c>
      <c r="M60" s="30" t="s">
        <v>639</v>
      </c>
      <c r="N60" s="27" t="s">
        <v>132</v>
      </c>
      <c r="O60" s="29" t="s">
        <v>640</v>
      </c>
      <c r="P60" s="29" t="s">
        <v>641</v>
      </c>
      <c r="Q60" s="22" t="s">
        <v>114</v>
      </c>
      <c r="R60" s="23" t="n">
        <v>46268</v>
      </c>
      <c r="S60" s="22"/>
      <c r="T60" s="24"/>
      <c r="U60" s="25"/>
      <c r="V60" s="25"/>
      <c r="W60" s="22"/>
      <c r="X60" s="24"/>
    </row>
    <row r="61" customFormat="false" ht="43.5" hidden="false" customHeight="true" outlineLevel="0" collapsed="false">
      <c r="A61" s="17" t="s">
        <v>642</v>
      </c>
      <c r="B61" s="18" t="s">
        <v>62</v>
      </c>
      <c r="C61" s="32" t="n">
        <v>2</v>
      </c>
      <c r="D61" s="18" t="s">
        <v>60</v>
      </c>
      <c r="E61" s="17" t="str">
        <f aca="false">INDEX(Roster!$B$5:$B$14,MATCH($D61,Roster!$A$5:$A$14,0))</f>
        <v>Reader 05</v>
      </c>
      <c r="F61" s="20" t="s">
        <v>643</v>
      </c>
      <c r="G61" s="17" t="s">
        <v>644</v>
      </c>
      <c r="H61" s="20" t="s">
        <v>645</v>
      </c>
      <c r="I61" s="18" t="n">
        <v>2025</v>
      </c>
      <c r="J61" s="17" t="s">
        <v>646</v>
      </c>
      <c r="K61" s="20" t="s">
        <v>647</v>
      </c>
      <c r="L61" s="17" t="s">
        <v>648</v>
      </c>
      <c r="M61" s="21" t="s">
        <v>649</v>
      </c>
      <c r="N61" s="18" t="s">
        <v>132</v>
      </c>
      <c r="O61" s="20" t="s">
        <v>650</v>
      </c>
      <c r="P61" s="20" t="s">
        <v>651</v>
      </c>
      <c r="Q61" s="22" t="s">
        <v>114</v>
      </c>
      <c r="R61" s="23" t="n">
        <v>46268</v>
      </c>
      <c r="S61" s="22"/>
      <c r="T61" s="24"/>
      <c r="U61" s="25"/>
      <c r="V61" s="25"/>
      <c r="W61" s="22"/>
      <c r="X61" s="24"/>
    </row>
    <row r="62" customFormat="false" ht="43.5" hidden="false" customHeight="true" outlineLevel="0" collapsed="false">
      <c r="A62" s="26" t="s">
        <v>652</v>
      </c>
      <c r="B62" s="27" t="s">
        <v>62</v>
      </c>
      <c r="C62" s="31" t="n">
        <v>2</v>
      </c>
      <c r="D62" s="27" t="s">
        <v>64</v>
      </c>
      <c r="E62" s="26" t="str">
        <f aca="false">INDEX(Roster!$B$5:$B$14,MATCH($D62,Roster!$A$5:$A$14,0))</f>
        <v>Reader 06</v>
      </c>
      <c r="F62" s="29" t="s">
        <v>653</v>
      </c>
      <c r="G62" s="26" t="s">
        <v>654</v>
      </c>
      <c r="H62" s="29" t="s">
        <v>655</v>
      </c>
      <c r="I62" s="27" t="n">
        <v>2025</v>
      </c>
      <c r="J62" s="26" t="s">
        <v>656</v>
      </c>
      <c r="K62" s="29" t="s">
        <v>657</v>
      </c>
      <c r="L62" s="26" t="s">
        <v>658</v>
      </c>
      <c r="M62" s="30" t="s">
        <v>659</v>
      </c>
      <c r="N62" s="27" t="s">
        <v>132</v>
      </c>
      <c r="O62" s="29" t="s">
        <v>660</v>
      </c>
      <c r="P62" s="29" t="s">
        <v>661</v>
      </c>
      <c r="Q62" s="22" t="s">
        <v>114</v>
      </c>
      <c r="R62" s="23" t="n">
        <v>46268</v>
      </c>
      <c r="S62" s="22"/>
      <c r="T62" s="24"/>
      <c r="U62" s="25"/>
      <c r="V62" s="25"/>
      <c r="W62" s="22"/>
      <c r="X62" s="24"/>
    </row>
    <row r="63" customFormat="false" ht="43.5" hidden="false" customHeight="true" outlineLevel="0" collapsed="false">
      <c r="A63" s="17" t="s">
        <v>662</v>
      </c>
      <c r="B63" s="18" t="s">
        <v>62</v>
      </c>
      <c r="C63" s="32" t="n">
        <v>2</v>
      </c>
      <c r="D63" s="18" t="s">
        <v>60</v>
      </c>
      <c r="E63" s="17" t="str">
        <f aca="false">INDEX(Roster!$B$5:$B$14,MATCH($D63,Roster!$A$5:$A$14,0))</f>
        <v>Reader 05</v>
      </c>
      <c r="F63" s="20" t="s">
        <v>663</v>
      </c>
      <c r="G63" s="17" t="s">
        <v>664</v>
      </c>
      <c r="H63" s="20" t="s">
        <v>665</v>
      </c>
      <c r="I63" s="18" t="n">
        <v>2025</v>
      </c>
      <c r="J63" s="17" t="s">
        <v>666</v>
      </c>
      <c r="K63" s="20" t="s">
        <v>108</v>
      </c>
      <c r="L63" s="17" t="s">
        <v>667</v>
      </c>
      <c r="M63" s="21" t="s">
        <v>668</v>
      </c>
      <c r="N63" s="18" t="s">
        <v>132</v>
      </c>
      <c r="O63" s="20" t="s">
        <v>669</v>
      </c>
      <c r="P63" s="20" t="s">
        <v>670</v>
      </c>
      <c r="Q63" s="22" t="s">
        <v>114</v>
      </c>
      <c r="R63" s="23" t="n">
        <v>46268</v>
      </c>
      <c r="S63" s="22"/>
      <c r="T63" s="24"/>
      <c r="U63" s="25"/>
      <c r="V63" s="25"/>
      <c r="W63" s="22"/>
      <c r="X63" s="24"/>
    </row>
    <row r="64" customFormat="false" ht="43.5" hidden="false" customHeight="true" outlineLevel="0" collapsed="false">
      <c r="A64" s="26" t="s">
        <v>671</v>
      </c>
      <c r="B64" s="27" t="s">
        <v>62</v>
      </c>
      <c r="C64" s="31" t="n">
        <v>2</v>
      </c>
      <c r="D64" s="27" t="s">
        <v>64</v>
      </c>
      <c r="E64" s="26" t="str">
        <f aca="false">INDEX(Roster!$B$5:$B$14,MATCH($D64,Roster!$A$5:$A$14,0))</f>
        <v>Reader 06</v>
      </c>
      <c r="F64" s="29" t="s">
        <v>672</v>
      </c>
      <c r="G64" s="26" t="s">
        <v>673</v>
      </c>
      <c r="H64" s="29" t="s">
        <v>674</v>
      </c>
      <c r="I64" s="27" t="n">
        <v>2026</v>
      </c>
      <c r="J64" s="26" t="s">
        <v>675</v>
      </c>
      <c r="K64" s="29" t="s">
        <v>676</v>
      </c>
      <c r="L64" s="26" t="s">
        <v>677</v>
      </c>
      <c r="M64" s="30" t="s">
        <v>678</v>
      </c>
      <c r="N64" s="27" t="s">
        <v>132</v>
      </c>
      <c r="O64" s="29" t="s">
        <v>679</v>
      </c>
      <c r="P64" s="29" t="s">
        <v>680</v>
      </c>
      <c r="Q64" s="22" t="s">
        <v>114</v>
      </c>
      <c r="R64" s="23" t="n">
        <v>46268</v>
      </c>
      <c r="S64" s="22"/>
      <c r="T64" s="24"/>
      <c r="U64" s="25"/>
      <c r="V64" s="25"/>
      <c r="W64" s="22"/>
      <c r="X64" s="24"/>
    </row>
    <row r="65" customFormat="false" ht="43.5" hidden="false" customHeight="true" outlineLevel="0" collapsed="false">
      <c r="A65" s="17" t="s">
        <v>681</v>
      </c>
      <c r="B65" s="18" t="s">
        <v>62</v>
      </c>
      <c r="C65" s="32" t="n">
        <v>2</v>
      </c>
      <c r="D65" s="18" t="s">
        <v>60</v>
      </c>
      <c r="E65" s="17" t="str">
        <f aca="false">INDEX(Roster!$B$5:$B$14,MATCH($D65,Roster!$A$5:$A$14,0))</f>
        <v>Reader 05</v>
      </c>
      <c r="F65" s="20" t="s">
        <v>682</v>
      </c>
      <c r="G65" s="17" t="s">
        <v>683</v>
      </c>
      <c r="H65" s="20" t="s">
        <v>683</v>
      </c>
      <c r="I65" s="18" t="n">
        <v>2026</v>
      </c>
      <c r="J65" s="17" t="s">
        <v>684</v>
      </c>
      <c r="K65" s="20" t="s">
        <v>685</v>
      </c>
      <c r="L65" s="17" t="s">
        <v>686</v>
      </c>
      <c r="M65" s="21" t="s">
        <v>687</v>
      </c>
      <c r="N65" s="18" t="s">
        <v>132</v>
      </c>
      <c r="O65" s="20" t="s">
        <v>688</v>
      </c>
      <c r="P65" s="20" t="s">
        <v>689</v>
      </c>
      <c r="Q65" s="22" t="s">
        <v>114</v>
      </c>
      <c r="R65" s="23" t="n">
        <v>46268</v>
      </c>
      <c r="S65" s="22"/>
      <c r="T65" s="24"/>
      <c r="U65" s="25"/>
      <c r="V65" s="25"/>
      <c r="W65" s="22"/>
      <c r="X65" s="24"/>
    </row>
    <row r="66" customFormat="false" ht="43.5" hidden="false" customHeight="true" outlineLevel="0" collapsed="false">
      <c r="A66" s="26" t="s">
        <v>690</v>
      </c>
      <c r="B66" s="27" t="s">
        <v>62</v>
      </c>
      <c r="C66" s="31" t="n">
        <v>2</v>
      </c>
      <c r="D66" s="27" t="s">
        <v>64</v>
      </c>
      <c r="E66" s="26" t="str">
        <f aca="false">INDEX(Roster!$B$5:$B$14,MATCH($D66,Roster!$A$5:$A$14,0))</f>
        <v>Reader 06</v>
      </c>
      <c r="F66" s="29" t="s">
        <v>691</v>
      </c>
      <c r="G66" s="26" t="s">
        <v>692</v>
      </c>
      <c r="H66" s="29" t="s">
        <v>693</v>
      </c>
      <c r="I66" s="27" t="n">
        <v>2026</v>
      </c>
      <c r="J66" s="26" t="s">
        <v>694</v>
      </c>
      <c r="K66" s="29" t="s">
        <v>108</v>
      </c>
      <c r="L66" s="26" t="s">
        <v>695</v>
      </c>
      <c r="M66" s="30" t="s">
        <v>696</v>
      </c>
      <c r="N66" s="27" t="s">
        <v>132</v>
      </c>
      <c r="O66" s="29" t="s">
        <v>697</v>
      </c>
      <c r="P66" s="29" t="s">
        <v>698</v>
      </c>
      <c r="Q66" s="22" t="s">
        <v>114</v>
      </c>
      <c r="R66" s="23" t="n">
        <v>46268</v>
      </c>
      <c r="S66" s="22"/>
      <c r="T66" s="24"/>
      <c r="U66" s="25"/>
      <c r="V66" s="25"/>
      <c r="W66" s="22"/>
      <c r="X66" s="24"/>
    </row>
    <row r="67" customFormat="false" ht="43.5" hidden="false" customHeight="true" outlineLevel="0" collapsed="false">
      <c r="A67" s="17" t="s">
        <v>699</v>
      </c>
      <c r="B67" s="18" t="s">
        <v>62</v>
      </c>
      <c r="C67" s="32" t="n">
        <v>2</v>
      </c>
      <c r="D67" s="18" t="s">
        <v>60</v>
      </c>
      <c r="E67" s="17" t="str">
        <f aca="false">INDEX(Roster!$B$5:$B$14,MATCH($D67,Roster!$A$5:$A$14,0))</f>
        <v>Reader 05</v>
      </c>
      <c r="F67" s="20" t="s">
        <v>700</v>
      </c>
      <c r="G67" s="17" t="s">
        <v>701</v>
      </c>
      <c r="H67" s="20" t="s">
        <v>702</v>
      </c>
      <c r="I67" s="18" t="n">
        <v>2026</v>
      </c>
      <c r="J67" s="17" t="s">
        <v>703</v>
      </c>
      <c r="K67" s="20" t="s">
        <v>108</v>
      </c>
      <c r="L67" s="17" t="s">
        <v>704</v>
      </c>
      <c r="M67" s="21" t="s">
        <v>705</v>
      </c>
      <c r="N67" s="18" t="s">
        <v>132</v>
      </c>
      <c r="O67" s="20" t="s">
        <v>706</v>
      </c>
      <c r="P67" s="20" t="s">
        <v>707</v>
      </c>
      <c r="Q67" s="22" t="s">
        <v>114</v>
      </c>
      <c r="R67" s="23" t="n">
        <v>46268</v>
      </c>
      <c r="S67" s="22"/>
      <c r="T67" s="24"/>
      <c r="U67" s="25"/>
      <c r="V67" s="25"/>
      <c r="W67" s="22"/>
      <c r="X67" s="24"/>
    </row>
    <row r="68" customFormat="false" ht="43.5" hidden="false" customHeight="true" outlineLevel="0" collapsed="false">
      <c r="A68" s="26" t="s">
        <v>708</v>
      </c>
      <c r="B68" s="27" t="s">
        <v>62</v>
      </c>
      <c r="C68" s="31" t="n">
        <v>2</v>
      </c>
      <c r="D68" s="27" t="s">
        <v>64</v>
      </c>
      <c r="E68" s="26" t="str">
        <f aca="false">INDEX(Roster!$B$5:$B$14,MATCH($D68,Roster!$A$5:$A$14,0))</f>
        <v>Reader 06</v>
      </c>
      <c r="F68" s="29" t="s">
        <v>709</v>
      </c>
      <c r="G68" s="26" t="s">
        <v>710</v>
      </c>
      <c r="H68" s="29" t="s">
        <v>711</v>
      </c>
      <c r="I68" s="27" t="n">
        <v>2026</v>
      </c>
      <c r="J68" s="26" t="s">
        <v>712</v>
      </c>
      <c r="K68" s="29" t="s">
        <v>713</v>
      </c>
      <c r="L68" s="26" t="s">
        <v>714</v>
      </c>
      <c r="M68" s="30" t="s">
        <v>715</v>
      </c>
      <c r="N68" s="27" t="s">
        <v>132</v>
      </c>
      <c r="O68" s="29" t="s">
        <v>716</v>
      </c>
      <c r="P68" s="29" t="s">
        <v>717</v>
      </c>
      <c r="Q68" s="22" t="s">
        <v>114</v>
      </c>
      <c r="R68" s="23" t="n">
        <v>46268</v>
      </c>
      <c r="S68" s="22"/>
      <c r="T68" s="24"/>
      <c r="U68" s="25"/>
      <c r="V68" s="25"/>
      <c r="W68" s="22"/>
      <c r="X68" s="24"/>
    </row>
    <row r="69" customFormat="false" ht="43.5" hidden="false" customHeight="true" outlineLevel="0" collapsed="false">
      <c r="A69" s="17" t="s">
        <v>718</v>
      </c>
      <c r="B69" s="18" t="s">
        <v>62</v>
      </c>
      <c r="C69" s="34" t="n">
        <v>3</v>
      </c>
      <c r="D69" s="18" t="s">
        <v>60</v>
      </c>
      <c r="E69" s="17" t="str">
        <f aca="false">INDEX(Roster!$B$5:$B$14,MATCH($D69,Roster!$A$5:$A$14,0))</f>
        <v>Reader 05</v>
      </c>
      <c r="F69" s="20" t="s">
        <v>719</v>
      </c>
      <c r="G69" s="17" t="s">
        <v>720</v>
      </c>
      <c r="H69" s="20" t="s">
        <v>721</v>
      </c>
      <c r="I69" s="18" t="n">
        <v>2024</v>
      </c>
      <c r="J69" s="17" t="s">
        <v>722</v>
      </c>
      <c r="K69" s="20" t="s">
        <v>108</v>
      </c>
      <c r="L69" s="17" t="s">
        <v>723</v>
      </c>
      <c r="M69" s="21" t="s">
        <v>724</v>
      </c>
      <c r="N69" s="18" t="s">
        <v>132</v>
      </c>
      <c r="O69" s="20" t="s">
        <v>725</v>
      </c>
      <c r="P69" s="20" t="s">
        <v>726</v>
      </c>
      <c r="Q69" s="22" t="s">
        <v>114</v>
      </c>
      <c r="R69" s="23" t="n">
        <v>46289</v>
      </c>
      <c r="S69" s="22"/>
      <c r="T69" s="24"/>
      <c r="U69" s="25"/>
      <c r="V69" s="25"/>
      <c r="W69" s="22"/>
      <c r="X69" s="24"/>
    </row>
    <row r="70" customFormat="false" ht="43.5" hidden="false" customHeight="true" outlineLevel="0" collapsed="false">
      <c r="A70" s="26" t="s">
        <v>727</v>
      </c>
      <c r="B70" s="27" t="s">
        <v>62</v>
      </c>
      <c r="C70" s="33" t="n">
        <v>3</v>
      </c>
      <c r="D70" s="27" t="s">
        <v>64</v>
      </c>
      <c r="E70" s="26" t="str">
        <f aca="false">INDEX(Roster!$B$5:$B$14,MATCH($D70,Roster!$A$5:$A$14,0))</f>
        <v>Reader 06</v>
      </c>
      <c r="F70" s="29" t="s">
        <v>728</v>
      </c>
      <c r="G70" s="26" t="s">
        <v>729</v>
      </c>
      <c r="H70" s="29" t="s">
        <v>730</v>
      </c>
      <c r="I70" s="27" t="n">
        <v>2024</v>
      </c>
      <c r="J70" s="26" t="s">
        <v>731</v>
      </c>
      <c r="K70" s="29" t="s">
        <v>732</v>
      </c>
      <c r="L70" s="26" t="s">
        <v>733</v>
      </c>
      <c r="M70" s="30" t="s">
        <v>734</v>
      </c>
      <c r="N70" s="27" t="s">
        <v>132</v>
      </c>
      <c r="O70" s="29" t="s">
        <v>735</v>
      </c>
      <c r="P70" s="29" t="s">
        <v>736</v>
      </c>
      <c r="Q70" s="22" t="s">
        <v>114</v>
      </c>
      <c r="R70" s="23" t="n">
        <v>46289</v>
      </c>
      <c r="S70" s="22"/>
      <c r="T70" s="24"/>
      <c r="U70" s="25"/>
      <c r="V70" s="25"/>
      <c r="W70" s="22"/>
      <c r="X70" s="24"/>
    </row>
    <row r="71" customFormat="false" ht="43.5" hidden="false" customHeight="true" outlineLevel="0" collapsed="false">
      <c r="A71" s="17" t="s">
        <v>737</v>
      </c>
      <c r="B71" s="18" t="s">
        <v>62</v>
      </c>
      <c r="C71" s="34" t="n">
        <v>3</v>
      </c>
      <c r="D71" s="18" t="s">
        <v>60</v>
      </c>
      <c r="E71" s="17" t="str">
        <f aca="false">INDEX(Roster!$B$5:$B$14,MATCH($D71,Roster!$A$5:$A$14,0))</f>
        <v>Reader 05</v>
      </c>
      <c r="F71" s="20" t="s">
        <v>738</v>
      </c>
      <c r="G71" s="17" t="s">
        <v>739</v>
      </c>
      <c r="H71" s="20" t="s">
        <v>740</v>
      </c>
      <c r="I71" s="18" t="n">
        <v>2024</v>
      </c>
      <c r="J71" s="17" t="s">
        <v>741</v>
      </c>
      <c r="K71" s="20" t="s">
        <v>108</v>
      </c>
      <c r="L71" s="17" t="s">
        <v>742</v>
      </c>
      <c r="M71" s="21" t="s">
        <v>743</v>
      </c>
      <c r="N71" s="18" t="s">
        <v>132</v>
      </c>
      <c r="O71" s="20" t="s">
        <v>744</v>
      </c>
      <c r="P71" s="20" t="s">
        <v>745</v>
      </c>
      <c r="Q71" s="22" t="s">
        <v>114</v>
      </c>
      <c r="R71" s="23" t="n">
        <v>46289</v>
      </c>
      <c r="S71" s="22"/>
      <c r="T71" s="24"/>
      <c r="U71" s="25"/>
      <c r="V71" s="25"/>
      <c r="W71" s="22"/>
      <c r="X71" s="24"/>
    </row>
    <row r="72" customFormat="false" ht="43.5" hidden="false" customHeight="true" outlineLevel="0" collapsed="false">
      <c r="A72" s="26" t="s">
        <v>746</v>
      </c>
      <c r="B72" s="27" t="s">
        <v>62</v>
      </c>
      <c r="C72" s="33" t="n">
        <v>3</v>
      </c>
      <c r="D72" s="27" t="s">
        <v>64</v>
      </c>
      <c r="E72" s="26" t="str">
        <f aca="false">INDEX(Roster!$B$5:$B$14,MATCH($D72,Roster!$A$5:$A$14,0))</f>
        <v>Reader 06</v>
      </c>
      <c r="F72" s="29" t="s">
        <v>747</v>
      </c>
      <c r="G72" s="26" t="s">
        <v>748</v>
      </c>
      <c r="H72" s="29" t="s">
        <v>749</v>
      </c>
      <c r="I72" s="27" t="n">
        <v>2024</v>
      </c>
      <c r="J72" s="26" t="s">
        <v>750</v>
      </c>
      <c r="K72" s="29" t="s">
        <v>751</v>
      </c>
      <c r="L72" s="26" t="s">
        <v>752</v>
      </c>
      <c r="M72" s="30" t="s">
        <v>753</v>
      </c>
      <c r="N72" s="27" t="s">
        <v>132</v>
      </c>
      <c r="O72" s="29" t="s">
        <v>754</v>
      </c>
      <c r="P72" s="29" t="s">
        <v>755</v>
      </c>
      <c r="Q72" s="22" t="s">
        <v>114</v>
      </c>
      <c r="R72" s="23" t="n">
        <v>46289</v>
      </c>
      <c r="S72" s="22"/>
      <c r="T72" s="24"/>
      <c r="U72" s="25"/>
      <c r="V72" s="25"/>
      <c r="W72" s="22"/>
      <c r="X72" s="24"/>
    </row>
    <row r="73" customFormat="false" ht="43.5" hidden="false" customHeight="true" outlineLevel="0" collapsed="false">
      <c r="A73" s="17" t="s">
        <v>756</v>
      </c>
      <c r="B73" s="18" t="s">
        <v>62</v>
      </c>
      <c r="C73" s="34" t="n">
        <v>3</v>
      </c>
      <c r="D73" s="18" t="s">
        <v>60</v>
      </c>
      <c r="E73" s="17" t="str">
        <f aca="false">INDEX(Roster!$B$5:$B$14,MATCH($D73,Roster!$A$5:$A$14,0))</f>
        <v>Reader 05</v>
      </c>
      <c r="F73" s="20" t="s">
        <v>757</v>
      </c>
      <c r="G73" s="17" t="s">
        <v>758</v>
      </c>
      <c r="H73" s="20" t="s">
        <v>759</v>
      </c>
      <c r="I73" s="18" t="n">
        <v>2025</v>
      </c>
      <c r="J73" s="17" t="s">
        <v>760</v>
      </c>
      <c r="K73" s="20" t="s">
        <v>108</v>
      </c>
      <c r="L73" s="17" t="s">
        <v>761</v>
      </c>
      <c r="M73" s="21" t="s">
        <v>762</v>
      </c>
      <c r="N73" s="18" t="s">
        <v>132</v>
      </c>
      <c r="O73" s="20" t="s">
        <v>763</v>
      </c>
      <c r="P73" s="20" t="s">
        <v>764</v>
      </c>
      <c r="Q73" s="22" t="s">
        <v>114</v>
      </c>
      <c r="R73" s="23" t="n">
        <v>46289</v>
      </c>
      <c r="S73" s="22"/>
      <c r="T73" s="24"/>
      <c r="U73" s="25"/>
      <c r="V73" s="25"/>
      <c r="W73" s="22"/>
      <c r="X73" s="24"/>
    </row>
    <row r="74" customFormat="false" ht="43.5" hidden="false" customHeight="true" outlineLevel="0" collapsed="false">
      <c r="A74" s="26" t="s">
        <v>765</v>
      </c>
      <c r="B74" s="27" t="s">
        <v>62</v>
      </c>
      <c r="C74" s="33" t="n">
        <v>3</v>
      </c>
      <c r="D74" s="27" t="s">
        <v>64</v>
      </c>
      <c r="E74" s="26" t="str">
        <f aca="false">INDEX(Roster!$B$5:$B$14,MATCH($D74,Roster!$A$5:$A$14,0))</f>
        <v>Reader 06</v>
      </c>
      <c r="F74" s="29" t="s">
        <v>766</v>
      </c>
      <c r="G74" s="26" t="s">
        <v>767</v>
      </c>
      <c r="H74" s="29" t="s">
        <v>768</v>
      </c>
      <c r="I74" s="27" t="n">
        <v>2025</v>
      </c>
      <c r="J74" s="26" t="s">
        <v>769</v>
      </c>
      <c r="K74" s="29" t="s">
        <v>108</v>
      </c>
      <c r="L74" s="26" t="s">
        <v>770</v>
      </c>
      <c r="M74" s="30" t="s">
        <v>771</v>
      </c>
      <c r="N74" s="27" t="s">
        <v>132</v>
      </c>
      <c r="O74" s="29" t="s">
        <v>772</v>
      </c>
      <c r="P74" s="29" t="s">
        <v>773</v>
      </c>
      <c r="Q74" s="22" t="s">
        <v>114</v>
      </c>
      <c r="R74" s="23" t="n">
        <v>46289</v>
      </c>
      <c r="S74" s="22"/>
      <c r="T74" s="24"/>
      <c r="U74" s="25"/>
      <c r="V74" s="25"/>
      <c r="W74" s="22"/>
      <c r="X74" s="24"/>
    </row>
    <row r="75" customFormat="false" ht="43.5" hidden="false" customHeight="true" outlineLevel="0" collapsed="false">
      <c r="A75" s="17" t="s">
        <v>774</v>
      </c>
      <c r="B75" s="18" t="s">
        <v>62</v>
      </c>
      <c r="C75" s="34" t="n">
        <v>3</v>
      </c>
      <c r="D75" s="18" t="s">
        <v>60</v>
      </c>
      <c r="E75" s="17" t="str">
        <f aca="false">INDEX(Roster!$B$5:$B$14,MATCH($D75,Roster!$A$5:$A$14,0))</f>
        <v>Reader 05</v>
      </c>
      <c r="F75" s="20" t="s">
        <v>775</v>
      </c>
      <c r="G75" s="17" t="s">
        <v>776</v>
      </c>
      <c r="H75" s="20" t="s">
        <v>777</v>
      </c>
      <c r="I75" s="18" t="n">
        <v>2025</v>
      </c>
      <c r="J75" s="17" t="s">
        <v>778</v>
      </c>
      <c r="K75" s="20" t="s">
        <v>108</v>
      </c>
      <c r="L75" s="17" t="s">
        <v>779</v>
      </c>
      <c r="M75" s="21" t="s">
        <v>780</v>
      </c>
      <c r="N75" s="18" t="s">
        <v>132</v>
      </c>
      <c r="O75" s="20" t="s">
        <v>781</v>
      </c>
      <c r="P75" s="20" t="s">
        <v>782</v>
      </c>
      <c r="Q75" s="22" t="s">
        <v>114</v>
      </c>
      <c r="R75" s="23" t="n">
        <v>46289</v>
      </c>
      <c r="S75" s="22"/>
      <c r="T75" s="24"/>
      <c r="U75" s="25"/>
      <c r="V75" s="25"/>
      <c r="W75" s="22"/>
      <c r="X75" s="24"/>
    </row>
    <row r="76" customFormat="false" ht="43.5" hidden="false" customHeight="true" outlineLevel="0" collapsed="false">
      <c r="A76" s="26" t="s">
        <v>783</v>
      </c>
      <c r="B76" s="27" t="s">
        <v>62</v>
      </c>
      <c r="C76" s="33" t="n">
        <v>3</v>
      </c>
      <c r="D76" s="27" t="s">
        <v>64</v>
      </c>
      <c r="E76" s="26" t="str">
        <f aca="false">INDEX(Roster!$B$5:$B$14,MATCH($D76,Roster!$A$5:$A$14,0))</f>
        <v>Reader 06</v>
      </c>
      <c r="F76" s="29" t="s">
        <v>784</v>
      </c>
      <c r="G76" s="26" t="s">
        <v>785</v>
      </c>
      <c r="H76" s="29" t="s">
        <v>786</v>
      </c>
      <c r="I76" s="27" t="n">
        <v>2025</v>
      </c>
      <c r="J76" s="26" t="s">
        <v>787</v>
      </c>
      <c r="K76" s="29" t="s">
        <v>108</v>
      </c>
      <c r="L76" s="26" t="s">
        <v>788</v>
      </c>
      <c r="M76" s="30" t="s">
        <v>789</v>
      </c>
      <c r="N76" s="27" t="s">
        <v>132</v>
      </c>
      <c r="O76" s="29" t="s">
        <v>790</v>
      </c>
      <c r="P76" s="29" t="s">
        <v>791</v>
      </c>
      <c r="Q76" s="22" t="s">
        <v>114</v>
      </c>
      <c r="R76" s="23" t="n">
        <v>46289</v>
      </c>
      <c r="S76" s="22"/>
      <c r="T76" s="24"/>
      <c r="U76" s="25"/>
      <c r="V76" s="25"/>
      <c r="W76" s="22"/>
      <c r="X76" s="24"/>
    </row>
    <row r="77" customFormat="false" ht="43.5" hidden="false" customHeight="true" outlineLevel="0" collapsed="false">
      <c r="A77" s="17" t="s">
        <v>792</v>
      </c>
      <c r="B77" s="18" t="s">
        <v>62</v>
      </c>
      <c r="C77" s="34" t="n">
        <v>3</v>
      </c>
      <c r="D77" s="18" t="s">
        <v>60</v>
      </c>
      <c r="E77" s="17" t="str">
        <f aca="false">INDEX(Roster!$B$5:$B$14,MATCH($D77,Roster!$A$5:$A$14,0))</f>
        <v>Reader 05</v>
      </c>
      <c r="F77" s="20" t="s">
        <v>793</v>
      </c>
      <c r="G77" s="17" t="s">
        <v>794</v>
      </c>
      <c r="H77" s="20" t="s">
        <v>795</v>
      </c>
      <c r="I77" s="18" t="n">
        <v>2026</v>
      </c>
      <c r="J77" s="17" t="s">
        <v>796</v>
      </c>
      <c r="K77" s="20" t="s">
        <v>108</v>
      </c>
      <c r="L77" s="17" t="s">
        <v>797</v>
      </c>
      <c r="M77" s="21" t="s">
        <v>798</v>
      </c>
      <c r="N77" s="18" t="s">
        <v>132</v>
      </c>
      <c r="O77" s="20" t="s">
        <v>799</v>
      </c>
      <c r="P77" s="20" t="s">
        <v>800</v>
      </c>
      <c r="Q77" s="22" t="s">
        <v>114</v>
      </c>
      <c r="R77" s="23" t="n">
        <v>46289</v>
      </c>
      <c r="S77" s="22"/>
      <c r="T77" s="24"/>
      <c r="U77" s="25"/>
      <c r="V77" s="25"/>
      <c r="W77" s="22"/>
      <c r="X77" s="24"/>
    </row>
    <row r="78" customFormat="false" ht="43.5" hidden="false" customHeight="true" outlineLevel="0" collapsed="false">
      <c r="A78" s="26" t="s">
        <v>801</v>
      </c>
      <c r="B78" s="27" t="s">
        <v>62</v>
      </c>
      <c r="C78" s="33" t="n">
        <v>3</v>
      </c>
      <c r="D78" s="27" t="s">
        <v>64</v>
      </c>
      <c r="E78" s="26" t="str">
        <f aca="false">INDEX(Roster!$B$5:$B$14,MATCH($D78,Roster!$A$5:$A$14,0))</f>
        <v>Reader 06</v>
      </c>
      <c r="F78" s="29" t="s">
        <v>802</v>
      </c>
      <c r="G78" s="26" t="s">
        <v>803</v>
      </c>
      <c r="H78" s="29" t="s">
        <v>804</v>
      </c>
      <c r="I78" s="27" t="n">
        <v>2026</v>
      </c>
      <c r="J78" s="26" t="s">
        <v>805</v>
      </c>
      <c r="K78" s="29" t="s">
        <v>108</v>
      </c>
      <c r="L78" s="26" t="s">
        <v>806</v>
      </c>
      <c r="M78" s="30" t="s">
        <v>807</v>
      </c>
      <c r="N78" s="27" t="s">
        <v>132</v>
      </c>
      <c r="O78" s="29" t="s">
        <v>808</v>
      </c>
      <c r="P78" s="29" t="s">
        <v>809</v>
      </c>
      <c r="Q78" s="22" t="s">
        <v>114</v>
      </c>
      <c r="R78" s="23" t="n">
        <v>46289</v>
      </c>
      <c r="S78" s="22"/>
      <c r="T78" s="24"/>
      <c r="U78" s="25"/>
      <c r="V78" s="25"/>
      <c r="W78" s="22"/>
      <c r="X78" s="24"/>
    </row>
    <row r="79" customFormat="false" ht="43.5" hidden="false" customHeight="true" outlineLevel="0" collapsed="false">
      <c r="A79" s="17" t="s">
        <v>810</v>
      </c>
      <c r="B79" s="18" t="s">
        <v>62</v>
      </c>
      <c r="C79" s="34" t="n">
        <v>3</v>
      </c>
      <c r="D79" s="18" t="s">
        <v>60</v>
      </c>
      <c r="E79" s="17" t="str">
        <f aca="false">INDEX(Roster!$B$5:$B$14,MATCH($D79,Roster!$A$5:$A$14,0))</f>
        <v>Reader 05</v>
      </c>
      <c r="F79" s="20" t="s">
        <v>811</v>
      </c>
      <c r="G79" s="17" t="s">
        <v>812</v>
      </c>
      <c r="H79" s="20" t="s">
        <v>813</v>
      </c>
      <c r="I79" s="18" t="n">
        <v>2026</v>
      </c>
      <c r="J79" s="17" t="s">
        <v>814</v>
      </c>
      <c r="K79" s="20" t="s">
        <v>108</v>
      </c>
      <c r="L79" s="17" t="s">
        <v>815</v>
      </c>
      <c r="M79" s="21" t="s">
        <v>816</v>
      </c>
      <c r="N79" s="18" t="s">
        <v>132</v>
      </c>
      <c r="O79" s="20" t="s">
        <v>817</v>
      </c>
      <c r="P79" s="20" t="s">
        <v>818</v>
      </c>
      <c r="Q79" s="22" t="s">
        <v>114</v>
      </c>
      <c r="R79" s="23" t="n">
        <v>46289</v>
      </c>
      <c r="S79" s="22"/>
      <c r="T79" s="24"/>
      <c r="U79" s="25"/>
      <c r="V79" s="25"/>
      <c r="W79" s="22"/>
      <c r="X79" s="24"/>
    </row>
    <row r="80" customFormat="false" ht="43.5" hidden="false" customHeight="true" outlineLevel="0" collapsed="false">
      <c r="A80" s="26" t="s">
        <v>819</v>
      </c>
      <c r="B80" s="27" t="s">
        <v>68</v>
      </c>
      <c r="C80" s="28" t="n">
        <v>1</v>
      </c>
      <c r="D80" s="27" t="s">
        <v>66</v>
      </c>
      <c r="E80" s="26" t="str">
        <f aca="false">INDEX(Roster!$B$5:$B$14,MATCH($D80,Roster!$A$5:$A$14,0))</f>
        <v>Reader 07</v>
      </c>
      <c r="F80" s="29" t="s">
        <v>820</v>
      </c>
      <c r="G80" s="26" t="s">
        <v>821</v>
      </c>
      <c r="H80" s="29" t="s">
        <v>822</v>
      </c>
      <c r="I80" s="27" t="n">
        <v>2022</v>
      </c>
      <c r="J80" s="26" t="s">
        <v>823</v>
      </c>
      <c r="K80" s="29" t="s">
        <v>108</v>
      </c>
      <c r="L80" s="26" t="s">
        <v>824</v>
      </c>
      <c r="M80" s="30" t="s">
        <v>825</v>
      </c>
      <c r="N80" s="27" t="s">
        <v>122</v>
      </c>
      <c r="O80" s="29" t="s">
        <v>826</v>
      </c>
      <c r="P80" s="29" t="s">
        <v>827</v>
      </c>
      <c r="Q80" s="22" t="s">
        <v>114</v>
      </c>
      <c r="R80" s="23" t="n">
        <v>46247</v>
      </c>
      <c r="S80" s="22"/>
      <c r="T80" s="24"/>
      <c r="U80" s="25"/>
      <c r="V80" s="25"/>
      <c r="W80" s="22"/>
      <c r="X80" s="24"/>
    </row>
    <row r="81" customFormat="false" ht="43.5" hidden="false" customHeight="true" outlineLevel="0" collapsed="false">
      <c r="A81" s="17" t="s">
        <v>828</v>
      </c>
      <c r="B81" s="18" t="s">
        <v>68</v>
      </c>
      <c r="C81" s="19" t="n">
        <v>1</v>
      </c>
      <c r="D81" s="18" t="s">
        <v>70</v>
      </c>
      <c r="E81" s="17" t="str">
        <f aca="false">INDEX(Roster!$B$5:$B$14,MATCH($D81,Roster!$A$5:$A$14,0))</f>
        <v>Reader 08</v>
      </c>
      <c r="F81" s="20" t="s">
        <v>829</v>
      </c>
      <c r="G81" s="17" t="s">
        <v>830</v>
      </c>
      <c r="H81" s="20" t="s">
        <v>831</v>
      </c>
      <c r="I81" s="18" t="n">
        <v>2023</v>
      </c>
      <c r="J81" s="17" t="s">
        <v>832</v>
      </c>
      <c r="K81" s="20" t="s">
        <v>108</v>
      </c>
      <c r="L81" s="17" t="s">
        <v>833</v>
      </c>
      <c r="M81" s="21" t="s">
        <v>834</v>
      </c>
      <c r="N81" s="18" t="s">
        <v>122</v>
      </c>
      <c r="O81" s="20" t="s">
        <v>835</v>
      </c>
      <c r="P81" s="20" t="s">
        <v>836</v>
      </c>
      <c r="Q81" s="22" t="s">
        <v>114</v>
      </c>
      <c r="R81" s="23" t="n">
        <v>46247</v>
      </c>
      <c r="S81" s="22"/>
      <c r="T81" s="24"/>
      <c r="U81" s="25"/>
      <c r="V81" s="25"/>
      <c r="W81" s="22"/>
      <c r="X81" s="24"/>
    </row>
    <row r="82" customFormat="false" ht="43.5" hidden="false" customHeight="true" outlineLevel="0" collapsed="false">
      <c r="A82" s="26" t="s">
        <v>837</v>
      </c>
      <c r="B82" s="27" t="s">
        <v>68</v>
      </c>
      <c r="C82" s="28" t="n">
        <v>1</v>
      </c>
      <c r="D82" s="27" t="s">
        <v>66</v>
      </c>
      <c r="E82" s="26" t="str">
        <f aca="false">INDEX(Roster!$B$5:$B$14,MATCH($D82,Roster!$A$5:$A$14,0))</f>
        <v>Reader 07</v>
      </c>
      <c r="F82" s="29" t="s">
        <v>838</v>
      </c>
      <c r="G82" s="26" t="s">
        <v>839</v>
      </c>
      <c r="H82" s="29" t="s">
        <v>840</v>
      </c>
      <c r="I82" s="27" t="n">
        <v>2023</v>
      </c>
      <c r="J82" s="26" t="s">
        <v>841</v>
      </c>
      <c r="K82" s="29" t="s">
        <v>108</v>
      </c>
      <c r="L82" s="26" t="s">
        <v>842</v>
      </c>
      <c r="M82" s="30" t="s">
        <v>843</v>
      </c>
      <c r="N82" s="27" t="s">
        <v>122</v>
      </c>
      <c r="O82" s="29" t="s">
        <v>844</v>
      </c>
      <c r="P82" s="29" t="s">
        <v>845</v>
      </c>
      <c r="Q82" s="22" t="s">
        <v>114</v>
      </c>
      <c r="R82" s="23" t="n">
        <v>46247</v>
      </c>
      <c r="S82" s="22"/>
      <c r="T82" s="24"/>
      <c r="U82" s="25"/>
      <c r="V82" s="25"/>
      <c r="W82" s="22"/>
      <c r="X82" s="24"/>
    </row>
    <row r="83" customFormat="false" ht="43.5" hidden="false" customHeight="true" outlineLevel="0" collapsed="false">
      <c r="A83" s="17" t="s">
        <v>846</v>
      </c>
      <c r="B83" s="18" t="s">
        <v>68</v>
      </c>
      <c r="C83" s="19" t="n">
        <v>1</v>
      </c>
      <c r="D83" s="18" t="s">
        <v>70</v>
      </c>
      <c r="E83" s="17" t="str">
        <f aca="false">INDEX(Roster!$B$5:$B$14,MATCH($D83,Roster!$A$5:$A$14,0))</f>
        <v>Reader 08</v>
      </c>
      <c r="F83" s="20" t="s">
        <v>847</v>
      </c>
      <c r="G83" s="17" t="s">
        <v>848</v>
      </c>
      <c r="H83" s="20" t="s">
        <v>849</v>
      </c>
      <c r="I83" s="18" t="n">
        <v>2024</v>
      </c>
      <c r="J83" s="17" t="s">
        <v>850</v>
      </c>
      <c r="K83" s="20" t="s">
        <v>108</v>
      </c>
      <c r="L83" s="17" t="s">
        <v>851</v>
      </c>
      <c r="M83" s="21" t="s">
        <v>852</v>
      </c>
      <c r="N83" s="18" t="s">
        <v>122</v>
      </c>
      <c r="O83" s="20" t="s">
        <v>853</v>
      </c>
      <c r="P83" s="20" t="s">
        <v>854</v>
      </c>
      <c r="Q83" s="22" t="s">
        <v>114</v>
      </c>
      <c r="R83" s="23" t="n">
        <v>46247</v>
      </c>
      <c r="S83" s="22"/>
      <c r="T83" s="24"/>
      <c r="U83" s="25"/>
      <c r="V83" s="25"/>
      <c r="W83" s="22"/>
      <c r="X83" s="24"/>
    </row>
    <row r="84" customFormat="false" ht="43.5" hidden="false" customHeight="true" outlineLevel="0" collapsed="false">
      <c r="A84" s="26" t="s">
        <v>855</v>
      </c>
      <c r="B84" s="27" t="s">
        <v>68</v>
      </c>
      <c r="C84" s="28" t="n">
        <v>1</v>
      </c>
      <c r="D84" s="27" t="s">
        <v>66</v>
      </c>
      <c r="E84" s="26" t="str">
        <f aca="false">INDEX(Roster!$B$5:$B$14,MATCH($D84,Roster!$A$5:$A$14,0))</f>
        <v>Reader 07</v>
      </c>
      <c r="F84" s="29" t="s">
        <v>856</v>
      </c>
      <c r="G84" s="26" t="s">
        <v>857</v>
      </c>
      <c r="H84" s="29" t="s">
        <v>858</v>
      </c>
      <c r="I84" s="27" t="n">
        <v>2024</v>
      </c>
      <c r="J84" s="26" t="s">
        <v>859</v>
      </c>
      <c r="K84" s="29" t="s">
        <v>860</v>
      </c>
      <c r="L84" s="26" t="s">
        <v>861</v>
      </c>
      <c r="M84" s="30" t="s">
        <v>862</v>
      </c>
      <c r="N84" s="27" t="s">
        <v>122</v>
      </c>
      <c r="O84" s="29" t="s">
        <v>863</v>
      </c>
      <c r="P84" s="29" t="s">
        <v>864</v>
      </c>
      <c r="Q84" s="22" t="s">
        <v>114</v>
      </c>
      <c r="R84" s="23" t="n">
        <v>46247</v>
      </c>
      <c r="S84" s="22"/>
      <c r="T84" s="24"/>
      <c r="U84" s="25"/>
      <c r="V84" s="25"/>
      <c r="W84" s="22"/>
      <c r="X84" s="24"/>
    </row>
    <row r="85" customFormat="false" ht="43.5" hidden="false" customHeight="true" outlineLevel="0" collapsed="false">
      <c r="A85" s="17" t="s">
        <v>865</v>
      </c>
      <c r="B85" s="18" t="s">
        <v>68</v>
      </c>
      <c r="C85" s="19" t="n">
        <v>1</v>
      </c>
      <c r="D85" s="18" t="s">
        <v>70</v>
      </c>
      <c r="E85" s="17" t="str">
        <f aca="false">INDEX(Roster!$B$5:$B$14,MATCH($D85,Roster!$A$5:$A$14,0))</f>
        <v>Reader 08</v>
      </c>
      <c r="F85" s="20" t="s">
        <v>866</v>
      </c>
      <c r="G85" s="17" t="s">
        <v>867</v>
      </c>
      <c r="H85" s="20" t="s">
        <v>868</v>
      </c>
      <c r="I85" s="18" t="n">
        <v>2025</v>
      </c>
      <c r="J85" s="17" t="s">
        <v>869</v>
      </c>
      <c r="K85" s="20" t="s">
        <v>870</v>
      </c>
      <c r="L85" s="17" t="s">
        <v>871</v>
      </c>
      <c r="M85" s="21" t="s">
        <v>872</v>
      </c>
      <c r="N85" s="18" t="s">
        <v>122</v>
      </c>
      <c r="O85" s="20" t="s">
        <v>873</v>
      </c>
      <c r="P85" s="20" t="s">
        <v>874</v>
      </c>
      <c r="Q85" s="22" t="s">
        <v>114</v>
      </c>
      <c r="R85" s="23" t="n">
        <v>46247</v>
      </c>
      <c r="S85" s="22"/>
      <c r="T85" s="24"/>
      <c r="U85" s="25"/>
      <c r="V85" s="25"/>
      <c r="W85" s="22"/>
      <c r="X85" s="24"/>
    </row>
    <row r="86" customFormat="false" ht="43.5" hidden="false" customHeight="true" outlineLevel="0" collapsed="false">
      <c r="A86" s="26" t="s">
        <v>875</v>
      </c>
      <c r="B86" s="27" t="s">
        <v>68</v>
      </c>
      <c r="C86" s="28" t="n">
        <v>1</v>
      </c>
      <c r="D86" s="27" t="s">
        <v>66</v>
      </c>
      <c r="E86" s="26" t="str">
        <f aca="false">INDEX(Roster!$B$5:$B$14,MATCH($D86,Roster!$A$5:$A$14,0))</f>
        <v>Reader 07</v>
      </c>
      <c r="F86" s="29" t="s">
        <v>876</v>
      </c>
      <c r="G86" s="26" t="s">
        <v>877</v>
      </c>
      <c r="H86" s="29" t="s">
        <v>878</v>
      </c>
      <c r="I86" s="27" t="n">
        <v>2025</v>
      </c>
      <c r="J86" s="26" t="s">
        <v>760</v>
      </c>
      <c r="K86" s="29" t="s">
        <v>108</v>
      </c>
      <c r="L86" s="26" t="s">
        <v>879</v>
      </c>
      <c r="M86" s="30" t="s">
        <v>880</v>
      </c>
      <c r="N86" s="27" t="s">
        <v>122</v>
      </c>
      <c r="O86" s="29" t="s">
        <v>881</v>
      </c>
      <c r="P86" s="29" t="s">
        <v>882</v>
      </c>
      <c r="Q86" s="22" t="s">
        <v>114</v>
      </c>
      <c r="R86" s="23" t="n">
        <v>46247</v>
      </c>
      <c r="S86" s="22"/>
      <c r="T86" s="24"/>
      <c r="U86" s="25"/>
      <c r="V86" s="25"/>
      <c r="W86" s="22"/>
      <c r="X86" s="24"/>
    </row>
    <row r="87" customFormat="false" ht="43.5" hidden="false" customHeight="true" outlineLevel="0" collapsed="false">
      <c r="A87" s="17" t="s">
        <v>883</v>
      </c>
      <c r="B87" s="18" t="s">
        <v>68</v>
      </c>
      <c r="C87" s="19" t="n">
        <v>1</v>
      </c>
      <c r="D87" s="18" t="s">
        <v>70</v>
      </c>
      <c r="E87" s="17" t="str">
        <f aca="false">INDEX(Roster!$B$5:$B$14,MATCH($D87,Roster!$A$5:$A$14,0))</f>
        <v>Reader 08</v>
      </c>
      <c r="F87" s="20" t="s">
        <v>884</v>
      </c>
      <c r="G87" s="17" t="s">
        <v>885</v>
      </c>
      <c r="H87" s="20" t="s">
        <v>886</v>
      </c>
      <c r="I87" s="18" t="n">
        <v>2025</v>
      </c>
      <c r="J87" s="17" t="s">
        <v>887</v>
      </c>
      <c r="K87" s="20" t="s">
        <v>888</v>
      </c>
      <c r="L87" s="17" t="s">
        <v>889</v>
      </c>
      <c r="M87" s="21" t="s">
        <v>890</v>
      </c>
      <c r="N87" s="18" t="s">
        <v>122</v>
      </c>
      <c r="O87" s="20" t="s">
        <v>891</v>
      </c>
      <c r="P87" s="20" t="s">
        <v>892</v>
      </c>
      <c r="Q87" s="22" t="s">
        <v>114</v>
      </c>
      <c r="R87" s="23" t="n">
        <v>46247</v>
      </c>
      <c r="S87" s="22"/>
      <c r="T87" s="24"/>
      <c r="U87" s="25"/>
      <c r="V87" s="25"/>
      <c r="W87" s="22"/>
      <c r="X87" s="24"/>
    </row>
    <row r="88" customFormat="false" ht="43.5" hidden="false" customHeight="true" outlineLevel="0" collapsed="false">
      <c r="A88" s="26" t="s">
        <v>893</v>
      </c>
      <c r="B88" s="27" t="s">
        <v>68</v>
      </c>
      <c r="C88" s="28" t="n">
        <v>1</v>
      </c>
      <c r="D88" s="27" t="s">
        <v>66</v>
      </c>
      <c r="E88" s="26" t="str">
        <f aca="false">INDEX(Roster!$B$5:$B$14,MATCH($D88,Roster!$A$5:$A$14,0))</f>
        <v>Reader 07</v>
      </c>
      <c r="F88" s="29" t="s">
        <v>894</v>
      </c>
      <c r="G88" s="26" t="s">
        <v>895</v>
      </c>
      <c r="H88" s="29" t="s">
        <v>896</v>
      </c>
      <c r="I88" s="27" t="n">
        <v>2025</v>
      </c>
      <c r="J88" s="26" t="s">
        <v>439</v>
      </c>
      <c r="K88" s="29" t="s">
        <v>108</v>
      </c>
      <c r="L88" s="26" t="s">
        <v>897</v>
      </c>
      <c r="M88" s="30" t="s">
        <v>898</v>
      </c>
      <c r="N88" s="27" t="s">
        <v>122</v>
      </c>
      <c r="O88" s="29" t="s">
        <v>899</v>
      </c>
      <c r="P88" s="29" t="s">
        <v>900</v>
      </c>
      <c r="Q88" s="22" t="s">
        <v>114</v>
      </c>
      <c r="R88" s="23" t="n">
        <v>46247</v>
      </c>
      <c r="S88" s="22"/>
      <c r="T88" s="24"/>
      <c r="U88" s="25"/>
      <c r="V88" s="25"/>
      <c r="W88" s="22"/>
      <c r="X88" s="24"/>
    </row>
    <row r="89" customFormat="false" ht="43.5" hidden="false" customHeight="true" outlineLevel="0" collapsed="false">
      <c r="A89" s="17" t="s">
        <v>901</v>
      </c>
      <c r="B89" s="18" t="s">
        <v>68</v>
      </c>
      <c r="C89" s="19" t="n">
        <v>1</v>
      </c>
      <c r="D89" s="18" t="s">
        <v>70</v>
      </c>
      <c r="E89" s="17" t="str">
        <f aca="false">INDEX(Roster!$B$5:$B$14,MATCH($D89,Roster!$A$5:$A$14,0))</f>
        <v>Reader 08</v>
      </c>
      <c r="F89" s="20" t="s">
        <v>902</v>
      </c>
      <c r="G89" s="17" t="s">
        <v>903</v>
      </c>
      <c r="H89" s="20" t="s">
        <v>904</v>
      </c>
      <c r="I89" s="18" t="n">
        <v>2026</v>
      </c>
      <c r="J89" s="17" t="s">
        <v>905</v>
      </c>
      <c r="K89" s="20" t="s">
        <v>906</v>
      </c>
      <c r="L89" s="17" t="s">
        <v>907</v>
      </c>
      <c r="M89" s="21" t="s">
        <v>908</v>
      </c>
      <c r="N89" s="18" t="s">
        <v>122</v>
      </c>
      <c r="O89" s="20" t="s">
        <v>909</v>
      </c>
      <c r="P89" s="20" t="s">
        <v>910</v>
      </c>
      <c r="Q89" s="22" t="s">
        <v>114</v>
      </c>
      <c r="R89" s="23" t="n">
        <v>46247</v>
      </c>
      <c r="S89" s="22"/>
      <c r="T89" s="24"/>
      <c r="U89" s="25"/>
      <c r="V89" s="25"/>
      <c r="W89" s="22"/>
      <c r="X89" s="24"/>
    </row>
    <row r="90" customFormat="false" ht="43.5" hidden="false" customHeight="true" outlineLevel="0" collapsed="false">
      <c r="A90" s="26" t="s">
        <v>911</v>
      </c>
      <c r="B90" s="27" t="s">
        <v>68</v>
      </c>
      <c r="C90" s="28" t="n">
        <v>1</v>
      </c>
      <c r="D90" s="27" t="s">
        <v>66</v>
      </c>
      <c r="E90" s="26" t="str">
        <f aca="false">INDEX(Roster!$B$5:$B$14,MATCH($D90,Roster!$A$5:$A$14,0))</f>
        <v>Reader 07</v>
      </c>
      <c r="F90" s="29" t="s">
        <v>912</v>
      </c>
      <c r="G90" s="26" t="s">
        <v>913</v>
      </c>
      <c r="H90" s="29" t="s">
        <v>914</v>
      </c>
      <c r="I90" s="27" t="n">
        <v>2026</v>
      </c>
      <c r="J90" s="26" t="s">
        <v>915</v>
      </c>
      <c r="K90" s="29" t="s">
        <v>916</v>
      </c>
      <c r="L90" s="26" t="s">
        <v>917</v>
      </c>
      <c r="M90" s="30" t="s">
        <v>918</v>
      </c>
      <c r="N90" s="27" t="s">
        <v>122</v>
      </c>
      <c r="O90" s="29" t="s">
        <v>919</v>
      </c>
      <c r="P90" s="29" t="s">
        <v>920</v>
      </c>
      <c r="Q90" s="22" t="s">
        <v>114</v>
      </c>
      <c r="R90" s="23" t="n">
        <v>46247</v>
      </c>
      <c r="S90" s="22"/>
      <c r="T90" s="24"/>
      <c r="U90" s="25"/>
      <c r="V90" s="25"/>
      <c r="W90" s="22"/>
      <c r="X90" s="24"/>
    </row>
    <row r="91" customFormat="false" ht="43.5" hidden="false" customHeight="true" outlineLevel="0" collapsed="false">
      <c r="A91" s="17" t="s">
        <v>921</v>
      </c>
      <c r="B91" s="18" t="s">
        <v>68</v>
      </c>
      <c r="C91" s="32" t="n">
        <v>2</v>
      </c>
      <c r="D91" s="18" t="s">
        <v>70</v>
      </c>
      <c r="E91" s="17" t="str">
        <f aca="false">INDEX(Roster!$B$5:$B$14,MATCH($D91,Roster!$A$5:$A$14,0))</f>
        <v>Reader 08</v>
      </c>
      <c r="F91" s="20" t="s">
        <v>922</v>
      </c>
      <c r="G91" s="17" t="s">
        <v>923</v>
      </c>
      <c r="H91" s="20" t="s">
        <v>924</v>
      </c>
      <c r="I91" s="18" t="n">
        <v>2023</v>
      </c>
      <c r="J91" s="17" t="s">
        <v>925</v>
      </c>
      <c r="K91" s="20" t="s">
        <v>926</v>
      </c>
      <c r="L91" s="17" t="s">
        <v>927</v>
      </c>
      <c r="M91" s="21" t="s">
        <v>928</v>
      </c>
      <c r="N91" s="18" t="s">
        <v>122</v>
      </c>
      <c r="O91" s="20" t="s">
        <v>929</v>
      </c>
      <c r="P91" s="20" t="s">
        <v>930</v>
      </c>
      <c r="Q91" s="22" t="s">
        <v>114</v>
      </c>
      <c r="R91" s="23" t="n">
        <v>46268</v>
      </c>
      <c r="S91" s="22"/>
      <c r="T91" s="24"/>
      <c r="U91" s="25"/>
      <c r="V91" s="25"/>
      <c r="W91" s="22"/>
      <c r="X91" s="24"/>
    </row>
    <row r="92" customFormat="false" ht="43.5" hidden="false" customHeight="true" outlineLevel="0" collapsed="false">
      <c r="A92" s="26" t="s">
        <v>931</v>
      </c>
      <c r="B92" s="27" t="s">
        <v>68</v>
      </c>
      <c r="C92" s="31" t="n">
        <v>2</v>
      </c>
      <c r="D92" s="27" t="s">
        <v>66</v>
      </c>
      <c r="E92" s="26" t="str">
        <f aca="false">INDEX(Roster!$B$5:$B$14,MATCH($D92,Roster!$A$5:$A$14,0))</f>
        <v>Reader 07</v>
      </c>
      <c r="F92" s="29" t="s">
        <v>932</v>
      </c>
      <c r="G92" s="26" t="s">
        <v>933</v>
      </c>
      <c r="H92" s="29" t="s">
        <v>934</v>
      </c>
      <c r="I92" s="27" t="n">
        <v>2023</v>
      </c>
      <c r="J92" s="26" t="s">
        <v>935</v>
      </c>
      <c r="K92" s="29" t="s">
        <v>936</v>
      </c>
      <c r="L92" s="26" t="s">
        <v>937</v>
      </c>
      <c r="M92" s="30" t="s">
        <v>938</v>
      </c>
      <c r="N92" s="27" t="s">
        <v>122</v>
      </c>
      <c r="O92" s="29" t="s">
        <v>939</v>
      </c>
      <c r="P92" s="29" t="s">
        <v>940</v>
      </c>
      <c r="Q92" s="22" t="s">
        <v>114</v>
      </c>
      <c r="R92" s="23" t="n">
        <v>46268</v>
      </c>
      <c r="S92" s="22"/>
      <c r="T92" s="24"/>
      <c r="U92" s="25"/>
      <c r="V92" s="25"/>
      <c r="W92" s="22"/>
      <c r="X92" s="24"/>
    </row>
    <row r="93" customFormat="false" ht="43.5" hidden="false" customHeight="true" outlineLevel="0" collapsed="false">
      <c r="A93" s="17" t="s">
        <v>941</v>
      </c>
      <c r="B93" s="18" t="s">
        <v>68</v>
      </c>
      <c r="C93" s="32" t="n">
        <v>2</v>
      </c>
      <c r="D93" s="18" t="s">
        <v>70</v>
      </c>
      <c r="E93" s="17" t="str">
        <f aca="false">INDEX(Roster!$B$5:$B$14,MATCH($D93,Roster!$A$5:$A$14,0))</f>
        <v>Reader 08</v>
      </c>
      <c r="F93" s="20" t="s">
        <v>942</v>
      </c>
      <c r="G93" s="17" t="s">
        <v>943</v>
      </c>
      <c r="H93" s="20" t="s">
        <v>944</v>
      </c>
      <c r="I93" s="18" t="n">
        <v>2023</v>
      </c>
      <c r="J93" s="17" t="s">
        <v>945</v>
      </c>
      <c r="K93" s="20" t="s">
        <v>946</v>
      </c>
      <c r="L93" s="17" t="s">
        <v>947</v>
      </c>
      <c r="M93" s="21" t="s">
        <v>948</v>
      </c>
      <c r="N93" s="18" t="s">
        <v>122</v>
      </c>
      <c r="O93" s="20" t="s">
        <v>949</v>
      </c>
      <c r="P93" s="20" t="s">
        <v>950</v>
      </c>
      <c r="Q93" s="22" t="s">
        <v>114</v>
      </c>
      <c r="R93" s="23" t="n">
        <v>46268</v>
      </c>
      <c r="S93" s="22"/>
      <c r="T93" s="24"/>
      <c r="U93" s="25"/>
      <c r="V93" s="25"/>
      <c r="W93" s="22"/>
      <c r="X93" s="24"/>
    </row>
    <row r="94" customFormat="false" ht="43.5" hidden="false" customHeight="true" outlineLevel="0" collapsed="false">
      <c r="A94" s="26" t="s">
        <v>951</v>
      </c>
      <c r="B94" s="27" t="s">
        <v>68</v>
      </c>
      <c r="C94" s="31" t="n">
        <v>2</v>
      </c>
      <c r="D94" s="27" t="s">
        <v>66</v>
      </c>
      <c r="E94" s="26" t="str">
        <f aca="false">INDEX(Roster!$B$5:$B$14,MATCH($D94,Roster!$A$5:$A$14,0))</f>
        <v>Reader 07</v>
      </c>
      <c r="F94" s="29" t="s">
        <v>952</v>
      </c>
      <c r="G94" s="26" t="s">
        <v>953</v>
      </c>
      <c r="H94" s="29" t="s">
        <v>954</v>
      </c>
      <c r="I94" s="27" t="n">
        <v>2024</v>
      </c>
      <c r="J94" s="26" t="s">
        <v>955</v>
      </c>
      <c r="K94" s="29" t="s">
        <v>956</v>
      </c>
      <c r="L94" s="26" t="s">
        <v>957</v>
      </c>
      <c r="M94" s="30" t="s">
        <v>958</v>
      </c>
      <c r="N94" s="27" t="s">
        <v>122</v>
      </c>
      <c r="O94" s="29" t="s">
        <v>959</v>
      </c>
      <c r="P94" s="29" t="s">
        <v>960</v>
      </c>
      <c r="Q94" s="22" t="s">
        <v>114</v>
      </c>
      <c r="R94" s="23" t="n">
        <v>46268</v>
      </c>
      <c r="S94" s="22"/>
      <c r="T94" s="24"/>
      <c r="U94" s="25"/>
      <c r="V94" s="25"/>
      <c r="W94" s="22"/>
      <c r="X94" s="24"/>
    </row>
    <row r="95" customFormat="false" ht="43.5" hidden="false" customHeight="true" outlineLevel="0" collapsed="false">
      <c r="A95" s="17" t="s">
        <v>961</v>
      </c>
      <c r="B95" s="18" t="s">
        <v>68</v>
      </c>
      <c r="C95" s="32" t="n">
        <v>2</v>
      </c>
      <c r="D95" s="18" t="s">
        <v>70</v>
      </c>
      <c r="E95" s="17" t="str">
        <f aca="false">INDEX(Roster!$B$5:$B$14,MATCH($D95,Roster!$A$5:$A$14,0))</f>
        <v>Reader 08</v>
      </c>
      <c r="F95" s="20" t="s">
        <v>962</v>
      </c>
      <c r="G95" s="17" t="s">
        <v>963</v>
      </c>
      <c r="H95" s="20" t="s">
        <v>964</v>
      </c>
      <c r="I95" s="18" t="n">
        <v>2024</v>
      </c>
      <c r="J95" s="17" t="s">
        <v>965</v>
      </c>
      <c r="K95" s="20" t="s">
        <v>966</v>
      </c>
      <c r="L95" s="17" t="s">
        <v>967</v>
      </c>
      <c r="M95" s="21" t="s">
        <v>968</v>
      </c>
      <c r="N95" s="18" t="s">
        <v>122</v>
      </c>
      <c r="O95" s="20" t="s">
        <v>969</v>
      </c>
      <c r="P95" s="20" t="s">
        <v>970</v>
      </c>
      <c r="Q95" s="22" t="s">
        <v>114</v>
      </c>
      <c r="R95" s="23" t="n">
        <v>46268</v>
      </c>
      <c r="S95" s="22"/>
      <c r="T95" s="24"/>
      <c r="U95" s="25"/>
      <c r="V95" s="25"/>
      <c r="W95" s="22"/>
      <c r="X95" s="24"/>
    </row>
    <row r="96" customFormat="false" ht="43.5" hidden="false" customHeight="true" outlineLevel="0" collapsed="false">
      <c r="A96" s="26" t="s">
        <v>971</v>
      </c>
      <c r="B96" s="27" t="s">
        <v>68</v>
      </c>
      <c r="C96" s="31" t="n">
        <v>2</v>
      </c>
      <c r="D96" s="27" t="s">
        <v>66</v>
      </c>
      <c r="E96" s="26" t="str">
        <f aca="false">INDEX(Roster!$B$5:$B$14,MATCH($D96,Roster!$A$5:$A$14,0))</f>
        <v>Reader 07</v>
      </c>
      <c r="F96" s="29" t="s">
        <v>972</v>
      </c>
      <c r="G96" s="26" t="s">
        <v>973</v>
      </c>
      <c r="H96" s="29" t="s">
        <v>974</v>
      </c>
      <c r="I96" s="27" t="n">
        <v>2024</v>
      </c>
      <c r="J96" s="26" t="s">
        <v>975</v>
      </c>
      <c r="K96" s="29" t="s">
        <v>976</v>
      </c>
      <c r="L96" s="26" t="s">
        <v>977</v>
      </c>
      <c r="M96" s="30" t="s">
        <v>978</v>
      </c>
      <c r="N96" s="27" t="s">
        <v>122</v>
      </c>
      <c r="O96" s="29" t="s">
        <v>979</v>
      </c>
      <c r="P96" s="29" t="s">
        <v>980</v>
      </c>
      <c r="Q96" s="22" t="s">
        <v>114</v>
      </c>
      <c r="R96" s="23" t="n">
        <v>46268</v>
      </c>
      <c r="S96" s="22"/>
      <c r="T96" s="24"/>
      <c r="U96" s="25"/>
      <c r="V96" s="25"/>
      <c r="W96" s="22"/>
      <c r="X96" s="24"/>
    </row>
    <row r="97" customFormat="false" ht="43.5" hidden="false" customHeight="true" outlineLevel="0" collapsed="false">
      <c r="A97" s="17" t="s">
        <v>981</v>
      </c>
      <c r="B97" s="18" t="s">
        <v>68</v>
      </c>
      <c r="C97" s="32" t="n">
        <v>2</v>
      </c>
      <c r="D97" s="18" t="s">
        <v>70</v>
      </c>
      <c r="E97" s="17" t="str">
        <f aca="false">INDEX(Roster!$B$5:$B$14,MATCH($D97,Roster!$A$5:$A$14,0))</f>
        <v>Reader 08</v>
      </c>
      <c r="F97" s="20" t="s">
        <v>982</v>
      </c>
      <c r="G97" s="17" t="s">
        <v>983</v>
      </c>
      <c r="H97" s="20" t="s">
        <v>984</v>
      </c>
      <c r="I97" s="18" t="n">
        <v>2024</v>
      </c>
      <c r="J97" s="17" t="s">
        <v>985</v>
      </c>
      <c r="K97" s="20" t="s">
        <v>108</v>
      </c>
      <c r="L97" s="17" t="s">
        <v>986</v>
      </c>
      <c r="M97" s="21" t="s">
        <v>987</v>
      </c>
      <c r="N97" s="18" t="s">
        <v>122</v>
      </c>
      <c r="O97" s="20" t="s">
        <v>988</v>
      </c>
      <c r="P97" s="20" t="s">
        <v>989</v>
      </c>
      <c r="Q97" s="22" t="s">
        <v>114</v>
      </c>
      <c r="R97" s="23" t="n">
        <v>46268</v>
      </c>
      <c r="S97" s="22"/>
      <c r="T97" s="24"/>
      <c r="U97" s="25"/>
      <c r="V97" s="25"/>
      <c r="W97" s="22"/>
      <c r="X97" s="24"/>
    </row>
    <row r="98" customFormat="false" ht="43.5" hidden="false" customHeight="true" outlineLevel="0" collapsed="false">
      <c r="A98" s="26" t="s">
        <v>990</v>
      </c>
      <c r="B98" s="27" t="s">
        <v>68</v>
      </c>
      <c r="C98" s="31" t="n">
        <v>2</v>
      </c>
      <c r="D98" s="27" t="s">
        <v>66</v>
      </c>
      <c r="E98" s="26" t="str">
        <f aca="false">INDEX(Roster!$B$5:$B$14,MATCH($D98,Roster!$A$5:$A$14,0))</f>
        <v>Reader 07</v>
      </c>
      <c r="F98" s="29" t="s">
        <v>991</v>
      </c>
      <c r="G98" s="26" t="s">
        <v>992</v>
      </c>
      <c r="H98" s="29" t="s">
        <v>993</v>
      </c>
      <c r="I98" s="27" t="n">
        <v>2025</v>
      </c>
      <c r="J98" s="26" t="s">
        <v>994</v>
      </c>
      <c r="K98" s="29" t="s">
        <v>995</v>
      </c>
      <c r="L98" s="26" t="s">
        <v>996</v>
      </c>
      <c r="M98" s="30" t="s">
        <v>997</v>
      </c>
      <c r="N98" s="27" t="s">
        <v>122</v>
      </c>
      <c r="O98" s="29" t="s">
        <v>998</v>
      </c>
      <c r="P98" s="29" t="s">
        <v>999</v>
      </c>
      <c r="Q98" s="22" t="s">
        <v>114</v>
      </c>
      <c r="R98" s="23" t="n">
        <v>46268</v>
      </c>
      <c r="S98" s="22"/>
      <c r="T98" s="24"/>
      <c r="U98" s="25"/>
      <c r="V98" s="25"/>
      <c r="W98" s="22"/>
      <c r="X98" s="24"/>
    </row>
    <row r="99" customFormat="false" ht="43.5" hidden="false" customHeight="true" outlineLevel="0" collapsed="false">
      <c r="A99" s="17" t="s">
        <v>1000</v>
      </c>
      <c r="B99" s="18" t="s">
        <v>68</v>
      </c>
      <c r="C99" s="32" t="n">
        <v>2</v>
      </c>
      <c r="D99" s="18" t="s">
        <v>70</v>
      </c>
      <c r="E99" s="17" t="str">
        <f aca="false">INDEX(Roster!$B$5:$B$14,MATCH($D99,Roster!$A$5:$A$14,0))</f>
        <v>Reader 08</v>
      </c>
      <c r="F99" s="20" t="s">
        <v>1001</v>
      </c>
      <c r="G99" s="17" t="s">
        <v>1002</v>
      </c>
      <c r="H99" s="20" t="s">
        <v>1003</v>
      </c>
      <c r="I99" s="18" t="n">
        <v>2025</v>
      </c>
      <c r="J99" s="17" t="s">
        <v>1004</v>
      </c>
      <c r="K99" s="20" t="s">
        <v>1005</v>
      </c>
      <c r="L99" s="17" t="s">
        <v>1006</v>
      </c>
      <c r="M99" s="21" t="s">
        <v>1007</v>
      </c>
      <c r="N99" s="18" t="s">
        <v>122</v>
      </c>
      <c r="O99" s="20" t="s">
        <v>1008</v>
      </c>
      <c r="P99" s="20" t="s">
        <v>1009</v>
      </c>
      <c r="Q99" s="22" t="s">
        <v>114</v>
      </c>
      <c r="R99" s="23" t="n">
        <v>46268</v>
      </c>
      <c r="S99" s="22"/>
      <c r="T99" s="24"/>
      <c r="U99" s="25"/>
      <c r="V99" s="25"/>
      <c r="W99" s="22"/>
      <c r="X99" s="24"/>
    </row>
    <row r="100" customFormat="false" ht="43.5" hidden="false" customHeight="true" outlineLevel="0" collapsed="false">
      <c r="A100" s="26" t="s">
        <v>1010</v>
      </c>
      <c r="B100" s="27" t="s">
        <v>68</v>
      </c>
      <c r="C100" s="31" t="n">
        <v>2</v>
      </c>
      <c r="D100" s="27" t="s">
        <v>66</v>
      </c>
      <c r="E100" s="26" t="str">
        <f aca="false">INDEX(Roster!$B$5:$B$14,MATCH($D100,Roster!$A$5:$A$14,0))</f>
        <v>Reader 07</v>
      </c>
      <c r="F100" s="29" t="s">
        <v>1011</v>
      </c>
      <c r="G100" s="26" t="s">
        <v>1012</v>
      </c>
      <c r="H100" s="29" t="s">
        <v>1013</v>
      </c>
      <c r="I100" s="27" t="n">
        <v>2025</v>
      </c>
      <c r="J100" s="26" t="s">
        <v>1014</v>
      </c>
      <c r="K100" s="29" t="s">
        <v>108</v>
      </c>
      <c r="L100" s="26" t="s">
        <v>1015</v>
      </c>
      <c r="M100" s="30" t="s">
        <v>1016</v>
      </c>
      <c r="N100" s="27" t="s">
        <v>122</v>
      </c>
      <c r="O100" s="29" t="s">
        <v>1017</v>
      </c>
      <c r="P100" s="29" t="s">
        <v>1018</v>
      </c>
      <c r="Q100" s="22" t="s">
        <v>114</v>
      </c>
      <c r="R100" s="23" t="n">
        <v>46268</v>
      </c>
      <c r="S100" s="22"/>
      <c r="T100" s="24"/>
      <c r="U100" s="25"/>
      <c r="V100" s="25"/>
      <c r="W100" s="22"/>
      <c r="X100" s="24"/>
    </row>
    <row r="101" customFormat="false" ht="43.5" hidden="false" customHeight="true" outlineLevel="0" collapsed="false">
      <c r="A101" s="17" t="s">
        <v>1019</v>
      </c>
      <c r="B101" s="18" t="s">
        <v>68</v>
      </c>
      <c r="C101" s="32" t="n">
        <v>2</v>
      </c>
      <c r="D101" s="18" t="s">
        <v>70</v>
      </c>
      <c r="E101" s="17" t="str">
        <f aca="false">INDEX(Roster!$B$5:$B$14,MATCH($D101,Roster!$A$5:$A$14,0))</f>
        <v>Reader 08</v>
      </c>
      <c r="F101" s="20" t="s">
        <v>1020</v>
      </c>
      <c r="G101" s="17" t="s">
        <v>1021</v>
      </c>
      <c r="H101" s="20" t="s">
        <v>1022</v>
      </c>
      <c r="I101" s="18" t="n">
        <v>2026</v>
      </c>
      <c r="J101" s="17" t="s">
        <v>1023</v>
      </c>
      <c r="K101" s="20" t="s">
        <v>108</v>
      </c>
      <c r="L101" s="17" t="s">
        <v>1024</v>
      </c>
      <c r="M101" s="21" t="s">
        <v>1025</v>
      </c>
      <c r="N101" s="18" t="s">
        <v>122</v>
      </c>
      <c r="O101" s="20" t="s">
        <v>1026</v>
      </c>
      <c r="P101" s="20" t="s">
        <v>1027</v>
      </c>
      <c r="Q101" s="22" t="s">
        <v>114</v>
      </c>
      <c r="R101" s="23" t="n">
        <v>46268</v>
      </c>
      <c r="S101" s="22"/>
      <c r="T101" s="24"/>
      <c r="U101" s="25"/>
      <c r="V101" s="25"/>
      <c r="W101" s="22"/>
      <c r="X101" s="24"/>
    </row>
    <row r="102" customFormat="false" ht="43.5" hidden="false" customHeight="true" outlineLevel="0" collapsed="false">
      <c r="A102" s="26" t="s">
        <v>1028</v>
      </c>
      <c r="B102" s="27" t="s">
        <v>68</v>
      </c>
      <c r="C102" s="33" t="n">
        <v>3</v>
      </c>
      <c r="D102" s="27" t="s">
        <v>66</v>
      </c>
      <c r="E102" s="26" t="str">
        <f aca="false">INDEX(Roster!$B$5:$B$14,MATCH($D102,Roster!$A$5:$A$14,0))</f>
        <v>Reader 07</v>
      </c>
      <c r="F102" s="29" t="s">
        <v>1029</v>
      </c>
      <c r="G102" s="26" t="s">
        <v>1030</v>
      </c>
      <c r="H102" s="29" t="s">
        <v>1031</v>
      </c>
      <c r="I102" s="27" t="n">
        <v>2025</v>
      </c>
      <c r="J102" s="26" t="s">
        <v>1032</v>
      </c>
      <c r="K102" s="29" t="s">
        <v>1033</v>
      </c>
      <c r="L102" s="26" t="s">
        <v>1034</v>
      </c>
      <c r="M102" s="30" t="s">
        <v>1035</v>
      </c>
      <c r="N102" s="27" t="s">
        <v>122</v>
      </c>
      <c r="O102" s="29" t="s">
        <v>1036</v>
      </c>
      <c r="P102" s="29" t="s">
        <v>1037</v>
      </c>
      <c r="Q102" s="22" t="s">
        <v>114</v>
      </c>
      <c r="R102" s="23" t="n">
        <v>46289</v>
      </c>
      <c r="S102" s="22"/>
      <c r="T102" s="24"/>
      <c r="U102" s="25"/>
      <c r="V102" s="25"/>
      <c r="W102" s="22"/>
      <c r="X102" s="24"/>
    </row>
    <row r="103" customFormat="false" ht="43.5" hidden="false" customHeight="true" outlineLevel="0" collapsed="false">
      <c r="A103" s="17" t="s">
        <v>1038</v>
      </c>
      <c r="B103" s="18" t="s">
        <v>68</v>
      </c>
      <c r="C103" s="34" t="n">
        <v>3</v>
      </c>
      <c r="D103" s="18" t="s">
        <v>70</v>
      </c>
      <c r="E103" s="17" t="str">
        <f aca="false">INDEX(Roster!$B$5:$B$14,MATCH($D103,Roster!$A$5:$A$14,0))</f>
        <v>Reader 08</v>
      </c>
      <c r="F103" s="20" t="s">
        <v>1039</v>
      </c>
      <c r="G103" s="17" t="s">
        <v>1040</v>
      </c>
      <c r="H103" s="20" t="s">
        <v>1041</v>
      </c>
      <c r="I103" s="18" t="n">
        <v>2025</v>
      </c>
      <c r="J103" s="17" t="s">
        <v>778</v>
      </c>
      <c r="K103" s="20" t="s">
        <v>108</v>
      </c>
      <c r="L103" s="17" t="s">
        <v>1042</v>
      </c>
      <c r="M103" s="21" t="s">
        <v>1043</v>
      </c>
      <c r="N103" s="18" t="s">
        <v>122</v>
      </c>
      <c r="O103" s="20" t="s">
        <v>1044</v>
      </c>
      <c r="P103" s="20" t="s">
        <v>1045</v>
      </c>
      <c r="Q103" s="22" t="s">
        <v>114</v>
      </c>
      <c r="R103" s="23" t="n">
        <v>46289</v>
      </c>
      <c r="S103" s="22"/>
      <c r="T103" s="24"/>
      <c r="U103" s="25"/>
      <c r="V103" s="25"/>
      <c r="W103" s="22"/>
      <c r="X103" s="24"/>
    </row>
    <row r="104" customFormat="false" ht="43.5" hidden="false" customHeight="true" outlineLevel="0" collapsed="false">
      <c r="A104" s="26" t="s">
        <v>1046</v>
      </c>
      <c r="B104" s="27" t="s">
        <v>68</v>
      </c>
      <c r="C104" s="33" t="n">
        <v>3</v>
      </c>
      <c r="D104" s="27" t="s">
        <v>66</v>
      </c>
      <c r="E104" s="26" t="str">
        <f aca="false">INDEX(Roster!$B$5:$B$14,MATCH($D104,Roster!$A$5:$A$14,0))</f>
        <v>Reader 07</v>
      </c>
      <c r="F104" s="29" t="s">
        <v>1047</v>
      </c>
      <c r="G104" s="26" t="s">
        <v>1048</v>
      </c>
      <c r="H104" s="29" t="s">
        <v>1049</v>
      </c>
      <c r="I104" s="27" t="n">
        <v>2025</v>
      </c>
      <c r="J104" s="26" t="s">
        <v>1050</v>
      </c>
      <c r="K104" s="29" t="s">
        <v>1051</v>
      </c>
      <c r="L104" s="26" t="s">
        <v>1052</v>
      </c>
      <c r="M104" s="30" t="s">
        <v>1053</v>
      </c>
      <c r="N104" s="27" t="s">
        <v>122</v>
      </c>
      <c r="O104" s="29" t="s">
        <v>1054</v>
      </c>
      <c r="P104" s="29" t="s">
        <v>1055</v>
      </c>
      <c r="Q104" s="22" t="s">
        <v>114</v>
      </c>
      <c r="R104" s="23" t="n">
        <v>46289</v>
      </c>
      <c r="S104" s="22"/>
      <c r="T104" s="24"/>
      <c r="U104" s="25"/>
      <c r="V104" s="25"/>
      <c r="W104" s="22"/>
      <c r="X104" s="24"/>
    </row>
    <row r="105" customFormat="false" ht="43.5" hidden="false" customHeight="true" outlineLevel="0" collapsed="false">
      <c r="A105" s="17" t="s">
        <v>1056</v>
      </c>
      <c r="B105" s="18" t="s">
        <v>68</v>
      </c>
      <c r="C105" s="34" t="n">
        <v>3</v>
      </c>
      <c r="D105" s="18" t="s">
        <v>70</v>
      </c>
      <c r="E105" s="17" t="str">
        <f aca="false">INDEX(Roster!$B$5:$B$14,MATCH($D105,Roster!$A$5:$A$14,0))</f>
        <v>Reader 08</v>
      </c>
      <c r="F105" s="20" t="s">
        <v>1057</v>
      </c>
      <c r="G105" s="17" t="s">
        <v>1058</v>
      </c>
      <c r="H105" s="20" t="s">
        <v>1059</v>
      </c>
      <c r="I105" s="18" t="n">
        <v>2025</v>
      </c>
      <c r="J105" s="17" t="s">
        <v>1060</v>
      </c>
      <c r="K105" s="20" t="s">
        <v>1061</v>
      </c>
      <c r="L105" s="17" t="s">
        <v>1062</v>
      </c>
      <c r="M105" s="21" t="s">
        <v>1063</v>
      </c>
      <c r="N105" s="18" t="s">
        <v>122</v>
      </c>
      <c r="O105" s="20" t="s">
        <v>1064</v>
      </c>
      <c r="P105" s="20" t="s">
        <v>1065</v>
      </c>
      <c r="Q105" s="22" t="s">
        <v>114</v>
      </c>
      <c r="R105" s="23" t="n">
        <v>46289</v>
      </c>
      <c r="S105" s="22"/>
      <c r="T105" s="24"/>
      <c r="U105" s="25"/>
      <c r="V105" s="25"/>
      <c r="W105" s="22"/>
      <c r="X105" s="24"/>
    </row>
    <row r="106" customFormat="false" ht="43.5" hidden="false" customHeight="true" outlineLevel="0" collapsed="false">
      <c r="A106" s="26" t="s">
        <v>1066</v>
      </c>
      <c r="B106" s="27" t="s">
        <v>68</v>
      </c>
      <c r="C106" s="33" t="n">
        <v>3</v>
      </c>
      <c r="D106" s="27" t="s">
        <v>66</v>
      </c>
      <c r="E106" s="26" t="str">
        <f aca="false">INDEX(Roster!$B$5:$B$14,MATCH($D106,Roster!$A$5:$A$14,0))</f>
        <v>Reader 07</v>
      </c>
      <c r="F106" s="29" t="s">
        <v>1067</v>
      </c>
      <c r="G106" s="26" t="s">
        <v>1068</v>
      </c>
      <c r="H106" s="29" t="s">
        <v>1069</v>
      </c>
      <c r="I106" s="27" t="n">
        <v>2025</v>
      </c>
      <c r="J106" s="26" t="s">
        <v>1070</v>
      </c>
      <c r="K106" s="29" t="s">
        <v>108</v>
      </c>
      <c r="L106" s="26" t="s">
        <v>1071</v>
      </c>
      <c r="M106" s="30" t="s">
        <v>1072</v>
      </c>
      <c r="N106" s="27" t="s">
        <v>122</v>
      </c>
      <c r="O106" s="29" t="s">
        <v>1073</v>
      </c>
      <c r="P106" s="29" t="s">
        <v>1074</v>
      </c>
      <c r="Q106" s="22" t="s">
        <v>114</v>
      </c>
      <c r="R106" s="23" t="n">
        <v>46289</v>
      </c>
      <c r="S106" s="22"/>
      <c r="T106" s="24"/>
      <c r="U106" s="25"/>
      <c r="V106" s="25"/>
      <c r="W106" s="22"/>
      <c r="X106" s="24"/>
    </row>
    <row r="107" customFormat="false" ht="43.5" hidden="false" customHeight="true" outlineLevel="0" collapsed="false">
      <c r="A107" s="17" t="s">
        <v>1075</v>
      </c>
      <c r="B107" s="18" t="s">
        <v>68</v>
      </c>
      <c r="C107" s="34" t="n">
        <v>3</v>
      </c>
      <c r="D107" s="18" t="s">
        <v>70</v>
      </c>
      <c r="E107" s="17" t="str">
        <f aca="false">INDEX(Roster!$B$5:$B$14,MATCH($D107,Roster!$A$5:$A$14,0))</f>
        <v>Reader 08</v>
      </c>
      <c r="F107" s="20" t="s">
        <v>1076</v>
      </c>
      <c r="G107" s="17" t="s">
        <v>1077</v>
      </c>
      <c r="H107" s="20" t="s">
        <v>1078</v>
      </c>
      <c r="I107" s="18" t="n">
        <v>2025</v>
      </c>
      <c r="J107" s="17" t="s">
        <v>1079</v>
      </c>
      <c r="K107" s="20" t="s">
        <v>108</v>
      </c>
      <c r="L107" s="17" t="s">
        <v>1080</v>
      </c>
      <c r="M107" s="21" t="s">
        <v>1081</v>
      </c>
      <c r="N107" s="18" t="s">
        <v>122</v>
      </c>
      <c r="O107" s="20" t="s">
        <v>1082</v>
      </c>
      <c r="P107" s="20" t="s">
        <v>1083</v>
      </c>
      <c r="Q107" s="22" t="s">
        <v>114</v>
      </c>
      <c r="R107" s="23" t="n">
        <v>46289</v>
      </c>
      <c r="S107" s="22"/>
      <c r="T107" s="24"/>
      <c r="U107" s="25"/>
      <c r="V107" s="25"/>
      <c r="W107" s="22"/>
      <c r="X107" s="24"/>
    </row>
    <row r="108" customFormat="false" ht="43.5" hidden="false" customHeight="true" outlineLevel="0" collapsed="false">
      <c r="A108" s="26" t="s">
        <v>1084</v>
      </c>
      <c r="B108" s="27" t="s">
        <v>74</v>
      </c>
      <c r="C108" s="28" t="n">
        <v>1</v>
      </c>
      <c r="D108" s="27" t="s">
        <v>72</v>
      </c>
      <c r="E108" s="26" t="str">
        <f aca="false">INDEX(Roster!$B$5:$B$14,MATCH($D108,Roster!$A$5:$A$14,0))</f>
        <v>Reader 09</v>
      </c>
      <c r="F108" s="29" t="s">
        <v>1085</v>
      </c>
      <c r="G108" s="26" t="s">
        <v>1086</v>
      </c>
      <c r="H108" s="29" t="s">
        <v>1087</v>
      </c>
      <c r="I108" s="27" t="n">
        <v>2021</v>
      </c>
      <c r="J108" s="26" t="s">
        <v>1088</v>
      </c>
      <c r="K108" s="29" t="s">
        <v>1089</v>
      </c>
      <c r="L108" s="26" t="s">
        <v>1090</v>
      </c>
      <c r="M108" s="30" t="s">
        <v>1091</v>
      </c>
      <c r="N108" s="27" t="s">
        <v>111</v>
      </c>
      <c r="O108" s="29" t="s">
        <v>1092</v>
      </c>
      <c r="P108" s="29" t="s">
        <v>1093</v>
      </c>
      <c r="Q108" s="22" t="s">
        <v>114</v>
      </c>
      <c r="R108" s="23" t="n">
        <v>46247</v>
      </c>
      <c r="S108" s="22"/>
      <c r="T108" s="24"/>
      <c r="U108" s="25"/>
      <c r="V108" s="25"/>
      <c r="W108" s="22"/>
      <c r="X108" s="24"/>
    </row>
    <row r="109" customFormat="false" ht="43.5" hidden="false" customHeight="true" outlineLevel="0" collapsed="false">
      <c r="A109" s="17" t="s">
        <v>1094</v>
      </c>
      <c r="B109" s="18" t="s">
        <v>74</v>
      </c>
      <c r="C109" s="19" t="n">
        <v>1</v>
      </c>
      <c r="D109" s="18" t="s">
        <v>76</v>
      </c>
      <c r="E109" s="17" t="str">
        <f aca="false">INDEX(Roster!$B$5:$B$14,MATCH($D109,Roster!$A$5:$A$14,0))</f>
        <v>Reader 10</v>
      </c>
      <c r="F109" s="20" t="s">
        <v>1095</v>
      </c>
      <c r="G109" s="17" t="s">
        <v>1096</v>
      </c>
      <c r="H109" s="20" t="s">
        <v>1097</v>
      </c>
      <c r="I109" s="18" t="n">
        <v>2022</v>
      </c>
      <c r="J109" s="17" t="s">
        <v>1098</v>
      </c>
      <c r="K109" s="20" t="s">
        <v>108</v>
      </c>
      <c r="L109" s="17" t="s">
        <v>1099</v>
      </c>
      <c r="M109" s="21" t="s">
        <v>1100</v>
      </c>
      <c r="N109" s="18" t="s">
        <v>132</v>
      </c>
      <c r="O109" s="20" t="s">
        <v>1101</v>
      </c>
      <c r="P109" s="20" t="s">
        <v>1102</v>
      </c>
      <c r="Q109" s="22" t="s">
        <v>114</v>
      </c>
      <c r="R109" s="23" t="n">
        <v>46247</v>
      </c>
      <c r="S109" s="22"/>
      <c r="T109" s="24"/>
      <c r="U109" s="25"/>
      <c r="V109" s="25"/>
      <c r="W109" s="22"/>
      <c r="X109" s="24"/>
    </row>
    <row r="110" customFormat="false" ht="43.5" hidden="false" customHeight="true" outlineLevel="0" collapsed="false">
      <c r="A110" s="26" t="s">
        <v>1103</v>
      </c>
      <c r="B110" s="27" t="s">
        <v>74</v>
      </c>
      <c r="C110" s="28" t="n">
        <v>1</v>
      </c>
      <c r="D110" s="27" t="s">
        <v>72</v>
      </c>
      <c r="E110" s="26" t="str">
        <f aca="false">INDEX(Roster!$B$5:$B$14,MATCH($D110,Roster!$A$5:$A$14,0))</f>
        <v>Reader 09</v>
      </c>
      <c r="F110" s="29" t="s">
        <v>1104</v>
      </c>
      <c r="G110" s="26" t="s">
        <v>1105</v>
      </c>
      <c r="H110" s="29" t="s">
        <v>1106</v>
      </c>
      <c r="I110" s="27" t="n">
        <v>2023</v>
      </c>
      <c r="J110" s="26" t="s">
        <v>1107</v>
      </c>
      <c r="K110" s="29" t="s">
        <v>108</v>
      </c>
      <c r="L110" s="26" t="s">
        <v>1108</v>
      </c>
      <c r="M110" s="30" t="s">
        <v>1109</v>
      </c>
      <c r="N110" s="27" t="s">
        <v>132</v>
      </c>
      <c r="O110" s="29" t="s">
        <v>1110</v>
      </c>
      <c r="P110" s="29" t="s">
        <v>1111</v>
      </c>
      <c r="Q110" s="22" t="s">
        <v>114</v>
      </c>
      <c r="R110" s="23" t="n">
        <v>46247</v>
      </c>
      <c r="S110" s="22"/>
      <c r="T110" s="24"/>
      <c r="U110" s="25"/>
      <c r="V110" s="25"/>
      <c r="W110" s="22"/>
      <c r="X110" s="24"/>
    </row>
    <row r="111" customFormat="false" ht="43.5" hidden="false" customHeight="true" outlineLevel="0" collapsed="false">
      <c r="A111" s="17" t="s">
        <v>1112</v>
      </c>
      <c r="B111" s="18" t="s">
        <v>74</v>
      </c>
      <c r="C111" s="19" t="n">
        <v>1</v>
      </c>
      <c r="D111" s="18" t="s">
        <v>76</v>
      </c>
      <c r="E111" s="17" t="str">
        <f aca="false">INDEX(Roster!$B$5:$B$14,MATCH($D111,Roster!$A$5:$A$14,0))</f>
        <v>Reader 10</v>
      </c>
      <c r="F111" s="20" t="s">
        <v>1113</v>
      </c>
      <c r="G111" s="17" t="s">
        <v>1114</v>
      </c>
      <c r="H111" s="20" t="s">
        <v>1115</v>
      </c>
      <c r="I111" s="18" t="n">
        <v>2023</v>
      </c>
      <c r="J111" s="17" t="s">
        <v>1116</v>
      </c>
      <c r="K111" s="20" t="s">
        <v>1117</v>
      </c>
      <c r="L111" s="17" t="s">
        <v>1118</v>
      </c>
      <c r="M111" s="21" t="s">
        <v>1119</v>
      </c>
      <c r="N111" s="18" t="s">
        <v>132</v>
      </c>
      <c r="O111" s="20" t="s">
        <v>1120</v>
      </c>
      <c r="P111" s="20" t="s">
        <v>1121</v>
      </c>
      <c r="Q111" s="22" t="s">
        <v>114</v>
      </c>
      <c r="R111" s="23" t="n">
        <v>46247</v>
      </c>
      <c r="S111" s="22"/>
      <c r="T111" s="24"/>
      <c r="U111" s="25"/>
      <c r="V111" s="25"/>
      <c r="W111" s="22"/>
      <c r="X111" s="24"/>
    </row>
    <row r="112" customFormat="false" ht="43.5" hidden="false" customHeight="true" outlineLevel="0" collapsed="false">
      <c r="A112" s="26" t="s">
        <v>1122</v>
      </c>
      <c r="B112" s="27" t="s">
        <v>74</v>
      </c>
      <c r="C112" s="28" t="n">
        <v>1</v>
      </c>
      <c r="D112" s="27" t="s">
        <v>72</v>
      </c>
      <c r="E112" s="26" t="str">
        <f aca="false">INDEX(Roster!$B$5:$B$14,MATCH($D112,Roster!$A$5:$A$14,0))</f>
        <v>Reader 09</v>
      </c>
      <c r="F112" s="29" t="s">
        <v>1123</v>
      </c>
      <c r="G112" s="26" t="s">
        <v>1124</v>
      </c>
      <c r="H112" s="29" t="s">
        <v>1125</v>
      </c>
      <c r="I112" s="27" t="n">
        <v>2023</v>
      </c>
      <c r="J112" s="26" t="s">
        <v>1126</v>
      </c>
      <c r="K112" s="29" t="s">
        <v>1127</v>
      </c>
      <c r="L112" s="26" t="s">
        <v>1128</v>
      </c>
      <c r="M112" s="30" t="s">
        <v>1129</v>
      </c>
      <c r="N112" s="27" t="s">
        <v>132</v>
      </c>
      <c r="O112" s="29" t="s">
        <v>1130</v>
      </c>
      <c r="P112" s="29" t="s">
        <v>1131</v>
      </c>
      <c r="Q112" s="22" t="s">
        <v>114</v>
      </c>
      <c r="R112" s="23" t="n">
        <v>46247</v>
      </c>
      <c r="S112" s="22"/>
      <c r="T112" s="24"/>
      <c r="U112" s="25"/>
      <c r="V112" s="25"/>
      <c r="W112" s="22"/>
      <c r="X112" s="24"/>
    </row>
    <row r="113" customFormat="false" ht="43.5" hidden="false" customHeight="true" outlineLevel="0" collapsed="false">
      <c r="A113" s="17" t="s">
        <v>1132</v>
      </c>
      <c r="B113" s="18" t="s">
        <v>74</v>
      </c>
      <c r="C113" s="19" t="n">
        <v>1</v>
      </c>
      <c r="D113" s="18" t="s">
        <v>76</v>
      </c>
      <c r="E113" s="17" t="str">
        <f aca="false">INDEX(Roster!$B$5:$B$14,MATCH($D113,Roster!$A$5:$A$14,0))</f>
        <v>Reader 10</v>
      </c>
      <c r="F113" s="20" t="s">
        <v>1133</v>
      </c>
      <c r="G113" s="17" t="s">
        <v>1134</v>
      </c>
      <c r="H113" s="20" t="s">
        <v>1135</v>
      </c>
      <c r="I113" s="18" t="n">
        <v>2024</v>
      </c>
      <c r="J113" s="17" t="s">
        <v>1136</v>
      </c>
      <c r="K113" s="20" t="s">
        <v>108</v>
      </c>
      <c r="L113" s="17" t="s">
        <v>1137</v>
      </c>
      <c r="M113" s="21" t="s">
        <v>1138</v>
      </c>
      <c r="N113" s="18" t="s">
        <v>132</v>
      </c>
      <c r="O113" s="20" t="s">
        <v>1139</v>
      </c>
      <c r="P113" s="20" t="s">
        <v>1140</v>
      </c>
      <c r="Q113" s="22" t="s">
        <v>114</v>
      </c>
      <c r="R113" s="23" t="n">
        <v>46247</v>
      </c>
      <c r="S113" s="22"/>
      <c r="T113" s="24"/>
      <c r="U113" s="25"/>
      <c r="V113" s="25"/>
      <c r="W113" s="22"/>
      <c r="X113" s="24"/>
    </row>
    <row r="114" customFormat="false" ht="43.5" hidden="false" customHeight="true" outlineLevel="0" collapsed="false">
      <c r="A114" s="26" t="s">
        <v>1141</v>
      </c>
      <c r="B114" s="27" t="s">
        <v>74</v>
      </c>
      <c r="C114" s="28" t="n">
        <v>1</v>
      </c>
      <c r="D114" s="27" t="s">
        <v>72</v>
      </c>
      <c r="E114" s="26" t="str">
        <f aca="false">INDEX(Roster!$B$5:$B$14,MATCH($D114,Roster!$A$5:$A$14,0))</f>
        <v>Reader 09</v>
      </c>
      <c r="F114" s="29" t="s">
        <v>1142</v>
      </c>
      <c r="G114" s="26" t="s">
        <v>1143</v>
      </c>
      <c r="H114" s="29" t="s">
        <v>1144</v>
      </c>
      <c r="I114" s="27" t="n">
        <v>2024</v>
      </c>
      <c r="J114" s="26" t="s">
        <v>741</v>
      </c>
      <c r="K114" s="29" t="s">
        <v>1145</v>
      </c>
      <c r="L114" s="26" t="s">
        <v>1146</v>
      </c>
      <c r="M114" s="30" t="s">
        <v>1147</v>
      </c>
      <c r="N114" s="27" t="s">
        <v>132</v>
      </c>
      <c r="O114" s="29" t="s">
        <v>1148</v>
      </c>
      <c r="P114" s="29" t="s">
        <v>1149</v>
      </c>
      <c r="Q114" s="22" t="s">
        <v>114</v>
      </c>
      <c r="R114" s="23" t="n">
        <v>46247</v>
      </c>
      <c r="S114" s="22"/>
      <c r="T114" s="24"/>
      <c r="U114" s="25"/>
      <c r="V114" s="25"/>
      <c r="W114" s="22"/>
      <c r="X114" s="24"/>
    </row>
    <row r="115" customFormat="false" ht="43.5" hidden="false" customHeight="true" outlineLevel="0" collapsed="false">
      <c r="A115" s="17" t="s">
        <v>1150</v>
      </c>
      <c r="B115" s="18" t="s">
        <v>74</v>
      </c>
      <c r="C115" s="19" t="n">
        <v>1</v>
      </c>
      <c r="D115" s="18" t="s">
        <v>76</v>
      </c>
      <c r="E115" s="17" t="str">
        <f aca="false">INDEX(Roster!$B$5:$B$14,MATCH($D115,Roster!$A$5:$A$14,0))</f>
        <v>Reader 10</v>
      </c>
      <c r="F115" s="20" t="s">
        <v>1151</v>
      </c>
      <c r="G115" s="17" t="s">
        <v>1152</v>
      </c>
      <c r="H115" s="20" t="s">
        <v>1153</v>
      </c>
      <c r="I115" s="18" t="n">
        <v>2025</v>
      </c>
      <c r="J115" s="17" t="s">
        <v>1154</v>
      </c>
      <c r="K115" s="20" t="s">
        <v>108</v>
      </c>
      <c r="L115" s="17" t="s">
        <v>1155</v>
      </c>
      <c r="M115" s="21" t="s">
        <v>1156</v>
      </c>
      <c r="N115" s="18" t="s">
        <v>132</v>
      </c>
      <c r="O115" s="20" t="s">
        <v>1157</v>
      </c>
      <c r="P115" s="20" t="s">
        <v>1158</v>
      </c>
      <c r="Q115" s="22" t="s">
        <v>114</v>
      </c>
      <c r="R115" s="23" t="n">
        <v>46247</v>
      </c>
      <c r="S115" s="22"/>
      <c r="T115" s="24"/>
      <c r="U115" s="25"/>
      <c r="V115" s="25"/>
      <c r="W115" s="22"/>
      <c r="X115" s="24"/>
    </row>
    <row r="116" customFormat="false" ht="43.5" hidden="false" customHeight="true" outlineLevel="0" collapsed="false">
      <c r="A116" s="26" t="s">
        <v>1159</v>
      </c>
      <c r="B116" s="27" t="s">
        <v>74</v>
      </c>
      <c r="C116" s="28" t="n">
        <v>1</v>
      </c>
      <c r="D116" s="27" t="s">
        <v>72</v>
      </c>
      <c r="E116" s="26" t="str">
        <f aca="false">INDEX(Roster!$B$5:$B$14,MATCH($D116,Roster!$A$5:$A$14,0))</f>
        <v>Reader 09</v>
      </c>
      <c r="F116" s="29" t="s">
        <v>1160</v>
      </c>
      <c r="G116" s="26" t="s">
        <v>1161</v>
      </c>
      <c r="H116" s="29" t="s">
        <v>1162</v>
      </c>
      <c r="I116" s="27" t="n">
        <v>2025</v>
      </c>
      <c r="J116" s="26" t="s">
        <v>1163</v>
      </c>
      <c r="K116" s="29" t="s">
        <v>108</v>
      </c>
      <c r="L116" s="26" t="s">
        <v>1164</v>
      </c>
      <c r="M116" s="30" t="s">
        <v>1165</v>
      </c>
      <c r="N116" s="27" t="s">
        <v>132</v>
      </c>
      <c r="O116" s="29" t="s">
        <v>1166</v>
      </c>
      <c r="P116" s="29" t="s">
        <v>1167</v>
      </c>
      <c r="Q116" s="22" t="s">
        <v>114</v>
      </c>
      <c r="R116" s="23" t="n">
        <v>46247</v>
      </c>
      <c r="S116" s="22"/>
      <c r="T116" s="24"/>
      <c r="U116" s="25"/>
      <c r="V116" s="25"/>
      <c r="W116" s="22"/>
      <c r="X116" s="24"/>
    </row>
    <row r="117" customFormat="false" ht="43.5" hidden="false" customHeight="true" outlineLevel="0" collapsed="false">
      <c r="A117" s="17" t="s">
        <v>1168</v>
      </c>
      <c r="B117" s="18" t="s">
        <v>74</v>
      </c>
      <c r="C117" s="19" t="n">
        <v>1</v>
      </c>
      <c r="D117" s="18" t="s">
        <v>76</v>
      </c>
      <c r="E117" s="17" t="str">
        <f aca="false">INDEX(Roster!$B$5:$B$14,MATCH($D117,Roster!$A$5:$A$14,0))</f>
        <v>Reader 10</v>
      </c>
      <c r="F117" s="20" t="s">
        <v>1169</v>
      </c>
      <c r="G117" s="17" t="s">
        <v>1170</v>
      </c>
      <c r="H117" s="20" t="s">
        <v>1171</v>
      </c>
      <c r="I117" s="18" t="n">
        <v>2026</v>
      </c>
      <c r="J117" s="17" t="s">
        <v>1172</v>
      </c>
      <c r="K117" s="20" t="s">
        <v>108</v>
      </c>
      <c r="L117" s="17" t="s">
        <v>1173</v>
      </c>
      <c r="M117" s="21" t="s">
        <v>1174</v>
      </c>
      <c r="N117" s="18" t="s">
        <v>143</v>
      </c>
      <c r="O117" s="20" t="s">
        <v>1175</v>
      </c>
      <c r="P117" s="20" t="s">
        <v>1176</v>
      </c>
      <c r="Q117" s="22" t="s">
        <v>114</v>
      </c>
      <c r="R117" s="23" t="n">
        <v>46247</v>
      </c>
      <c r="S117" s="22"/>
      <c r="T117" s="24"/>
      <c r="U117" s="25"/>
      <c r="V117" s="25"/>
      <c r="W117" s="22"/>
      <c r="X117" s="24"/>
    </row>
    <row r="118" customFormat="false" ht="43.5" hidden="false" customHeight="true" outlineLevel="0" collapsed="false">
      <c r="A118" s="26" t="s">
        <v>1177</v>
      </c>
      <c r="B118" s="27" t="s">
        <v>74</v>
      </c>
      <c r="C118" s="28" t="n">
        <v>1</v>
      </c>
      <c r="D118" s="27" t="s">
        <v>72</v>
      </c>
      <c r="E118" s="26" t="str">
        <f aca="false">INDEX(Roster!$B$5:$B$14,MATCH($D118,Roster!$A$5:$A$14,0))</f>
        <v>Reader 09</v>
      </c>
      <c r="F118" s="29" t="s">
        <v>1178</v>
      </c>
      <c r="G118" s="26" t="s">
        <v>1179</v>
      </c>
      <c r="H118" s="29" t="s">
        <v>1179</v>
      </c>
      <c r="I118" s="27" t="n">
        <v>2026</v>
      </c>
      <c r="J118" s="26" t="s">
        <v>1180</v>
      </c>
      <c r="K118" s="29" t="s">
        <v>108</v>
      </c>
      <c r="L118" s="26" t="s">
        <v>1181</v>
      </c>
      <c r="M118" s="30" t="s">
        <v>1182</v>
      </c>
      <c r="N118" s="27" t="s">
        <v>143</v>
      </c>
      <c r="O118" s="29" t="s">
        <v>1183</v>
      </c>
      <c r="P118" s="29" t="s">
        <v>1184</v>
      </c>
      <c r="Q118" s="22" t="s">
        <v>114</v>
      </c>
      <c r="R118" s="23" t="n">
        <v>46247</v>
      </c>
      <c r="S118" s="22"/>
      <c r="T118" s="24"/>
      <c r="U118" s="25"/>
      <c r="V118" s="25"/>
      <c r="W118" s="22"/>
      <c r="X118" s="24"/>
    </row>
    <row r="119" customFormat="false" ht="43.5" hidden="false" customHeight="true" outlineLevel="0" collapsed="false">
      <c r="A119" s="17" t="s">
        <v>1185</v>
      </c>
      <c r="B119" s="18" t="s">
        <v>74</v>
      </c>
      <c r="C119" s="32" t="n">
        <v>2</v>
      </c>
      <c r="D119" s="18" t="s">
        <v>76</v>
      </c>
      <c r="E119" s="17" t="str">
        <f aca="false">INDEX(Roster!$B$5:$B$14,MATCH($D119,Roster!$A$5:$A$14,0))</f>
        <v>Reader 10</v>
      </c>
      <c r="F119" s="20" t="s">
        <v>1186</v>
      </c>
      <c r="G119" s="17" t="s">
        <v>1187</v>
      </c>
      <c r="H119" s="20" t="s">
        <v>1188</v>
      </c>
      <c r="I119" s="18" t="n">
        <v>2023</v>
      </c>
      <c r="J119" s="17" t="s">
        <v>1189</v>
      </c>
      <c r="K119" s="20" t="s">
        <v>1190</v>
      </c>
      <c r="L119" s="17" t="s">
        <v>1191</v>
      </c>
      <c r="M119" s="21" t="s">
        <v>1192</v>
      </c>
      <c r="N119" s="18" t="s">
        <v>132</v>
      </c>
      <c r="O119" s="20" t="s">
        <v>1193</v>
      </c>
      <c r="P119" s="20" t="s">
        <v>1194</v>
      </c>
      <c r="Q119" s="22" t="s">
        <v>114</v>
      </c>
      <c r="R119" s="23" t="n">
        <v>46268</v>
      </c>
      <c r="S119" s="22"/>
      <c r="T119" s="24"/>
      <c r="U119" s="25"/>
      <c r="V119" s="25"/>
      <c r="W119" s="22"/>
      <c r="X119" s="24"/>
    </row>
    <row r="120" customFormat="false" ht="43.5" hidden="false" customHeight="true" outlineLevel="0" collapsed="false">
      <c r="A120" s="26" t="s">
        <v>1195</v>
      </c>
      <c r="B120" s="27" t="s">
        <v>74</v>
      </c>
      <c r="C120" s="31" t="n">
        <v>2</v>
      </c>
      <c r="D120" s="27" t="s">
        <v>72</v>
      </c>
      <c r="E120" s="26" t="str">
        <f aca="false">INDEX(Roster!$B$5:$B$14,MATCH($D120,Roster!$A$5:$A$14,0))</f>
        <v>Reader 09</v>
      </c>
      <c r="F120" s="29" t="s">
        <v>1196</v>
      </c>
      <c r="G120" s="26" t="s">
        <v>1197</v>
      </c>
      <c r="H120" s="29" t="s">
        <v>1198</v>
      </c>
      <c r="I120" s="27" t="n">
        <v>2025</v>
      </c>
      <c r="J120" s="26" t="s">
        <v>1199</v>
      </c>
      <c r="K120" s="29" t="s">
        <v>1200</v>
      </c>
      <c r="L120" s="26" t="s">
        <v>1201</v>
      </c>
      <c r="M120" s="30" t="s">
        <v>1202</v>
      </c>
      <c r="N120" s="27" t="s">
        <v>132</v>
      </c>
      <c r="O120" s="29" t="s">
        <v>1203</v>
      </c>
      <c r="P120" s="29" t="s">
        <v>1204</v>
      </c>
      <c r="Q120" s="22" t="s">
        <v>114</v>
      </c>
      <c r="R120" s="23" t="n">
        <v>46268</v>
      </c>
      <c r="S120" s="22"/>
      <c r="T120" s="24"/>
      <c r="U120" s="25"/>
      <c r="V120" s="25"/>
      <c r="W120" s="22"/>
      <c r="X120" s="24"/>
    </row>
    <row r="121" customFormat="false" ht="43.5" hidden="false" customHeight="true" outlineLevel="0" collapsed="false">
      <c r="A121" s="17" t="s">
        <v>1205</v>
      </c>
      <c r="B121" s="18" t="s">
        <v>74</v>
      </c>
      <c r="C121" s="32" t="n">
        <v>2</v>
      </c>
      <c r="D121" s="18" t="s">
        <v>76</v>
      </c>
      <c r="E121" s="17" t="str">
        <f aca="false">INDEX(Roster!$B$5:$B$14,MATCH($D121,Roster!$A$5:$A$14,0))</f>
        <v>Reader 10</v>
      </c>
      <c r="F121" s="20" t="s">
        <v>1206</v>
      </c>
      <c r="G121" s="17" t="s">
        <v>1207</v>
      </c>
      <c r="H121" s="20" t="s">
        <v>1208</v>
      </c>
      <c r="I121" s="18" t="n">
        <v>2025</v>
      </c>
      <c r="J121" s="17" t="s">
        <v>1209</v>
      </c>
      <c r="K121" s="20" t="s">
        <v>1210</v>
      </c>
      <c r="L121" s="17" t="s">
        <v>1211</v>
      </c>
      <c r="M121" s="21" t="s">
        <v>1212</v>
      </c>
      <c r="N121" s="18" t="s">
        <v>111</v>
      </c>
      <c r="O121" s="20" t="s">
        <v>1213</v>
      </c>
      <c r="P121" s="20" t="s">
        <v>1214</v>
      </c>
      <c r="Q121" s="22" t="s">
        <v>114</v>
      </c>
      <c r="R121" s="23" t="n">
        <v>46268</v>
      </c>
      <c r="S121" s="22"/>
      <c r="T121" s="24"/>
      <c r="U121" s="25"/>
      <c r="V121" s="25"/>
      <c r="W121" s="22"/>
      <c r="X121" s="24"/>
    </row>
    <row r="122" customFormat="false" ht="43.5" hidden="false" customHeight="true" outlineLevel="0" collapsed="false">
      <c r="A122" s="26" t="s">
        <v>1215</v>
      </c>
      <c r="B122" s="27" t="s">
        <v>74</v>
      </c>
      <c r="C122" s="31" t="n">
        <v>2</v>
      </c>
      <c r="D122" s="27" t="s">
        <v>72</v>
      </c>
      <c r="E122" s="26" t="str">
        <f aca="false">INDEX(Roster!$B$5:$B$14,MATCH($D122,Roster!$A$5:$A$14,0))</f>
        <v>Reader 09</v>
      </c>
      <c r="F122" s="29" t="s">
        <v>1216</v>
      </c>
      <c r="G122" s="26" t="s">
        <v>1217</v>
      </c>
      <c r="H122" s="29" t="s">
        <v>1218</v>
      </c>
      <c r="I122" s="27" t="n">
        <v>2026</v>
      </c>
      <c r="J122" s="26" t="s">
        <v>1219</v>
      </c>
      <c r="K122" s="29" t="s">
        <v>108</v>
      </c>
      <c r="L122" s="26" t="s">
        <v>1220</v>
      </c>
      <c r="M122" s="30" t="s">
        <v>1221</v>
      </c>
      <c r="N122" s="27" t="s">
        <v>132</v>
      </c>
      <c r="O122" s="29" t="s">
        <v>1222</v>
      </c>
      <c r="P122" s="29" t="s">
        <v>1223</v>
      </c>
      <c r="Q122" s="22" t="s">
        <v>114</v>
      </c>
      <c r="R122" s="23" t="n">
        <v>46268</v>
      </c>
      <c r="S122" s="22"/>
      <c r="T122" s="24"/>
      <c r="U122" s="25"/>
      <c r="V122" s="25"/>
      <c r="W122" s="22"/>
      <c r="X122" s="24"/>
    </row>
    <row r="123" customFormat="false" ht="43.5" hidden="false" customHeight="true" outlineLevel="0" collapsed="false">
      <c r="A123" s="17" t="s">
        <v>1224</v>
      </c>
      <c r="B123" s="18" t="s">
        <v>74</v>
      </c>
      <c r="C123" s="32" t="n">
        <v>2</v>
      </c>
      <c r="D123" s="18" t="s">
        <v>76</v>
      </c>
      <c r="E123" s="17" t="str">
        <f aca="false">INDEX(Roster!$B$5:$B$14,MATCH($D123,Roster!$A$5:$A$14,0))</f>
        <v>Reader 10</v>
      </c>
      <c r="F123" s="20" t="s">
        <v>1225</v>
      </c>
      <c r="G123" s="17" t="s">
        <v>1226</v>
      </c>
      <c r="H123" s="20" t="s">
        <v>1227</v>
      </c>
      <c r="I123" s="18" t="n">
        <v>2026</v>
      </c>
      <c r="J123" s="17" t="s">
        <v>464</v>
      </c>
      <c r="K123" s="20" t="s">
        <v>1228</v>
      </c>
      <c r="L123" s="17" t="s">
        <v>1229</v>
      </c>
      <c r="M123" s="21" t="s">
        <v>1230</v>
      </c>
      <c r="N123" s="18" t="s">
        <v>132</v>
      </c>
      <c r="O123" s="20" t="s">
        <v>1231</v>
      </c>
      <c r="P123" s="20" t="s">
        <v>1232</v>
      </c>
      <c r="Q123" s="22" t="s">
        <v>114</v>
      </c>
      <c r="R123" s="23" t="n">
        <v>46268</v>
      </c>
      <c r="S123" s="22"/>
      <c r="T123" s="24"/>
      <c r="U123" s="25"/>
      <c r="V123" s="25"/>
      <c r="W123" s="22"/>
      <c r="X123" s="24"/>
    </row>
    <row r="124" customFormat="false" ht="43.5" hidden="false" customHeight="true" outlineLevel="0" collapsed="false">
      <c r="A124" s="26" t="s">
        <v>1233</v>
      </c>
      <c r="B124" s="27" t="s">
        <v>74</v>
      </c>
      <c r="C124" s="33" t="n">
        <v>3</v>
      </c>
      <c r="D124" s="27" t="s">
        <v>72</v>
      </c>
      <c r="E124" s="26" t="str">
        <f aca="false">INDEX(Roster!$B$5:$B$14,MATCH($D124,Roster!$A$5:$A$14,0))</f>
        <v>Reader 09</v>
      </c>
      <c r="F124" s="29" t="s">
        <v>1234</v>
      </c>
      <c r="G124" s="26" t="s">
        <v>1235</v>
      </c>
      <c r="H124" s="29" t="s">
        <v>1236</v>
      </c>
      <c r="I124" s="27" t="n">
        <v>2024</v>
      </c>
      <c r="J124" s="26" t="s">
        <v>1237</v>
      </c>
      <c r="K124" s="29" t="s">
        <v>1238</v>
      </c>
      <c r="L124" s="26" t="s">
        <v>1239</v>
      </c>
      <c r="M124" s="30" t="s">
        <v>1240</v>
      </c>
      <c r="N124" s="27" t="s">
        <v>132</v>
      </c>
      <c r="O124" s="29" t="s">
        <v>1241</v>
      </c>
      <c r="P124" s="29" t="s">
        <v>1242</v>
      </c>
      <c r="Q124" s="22" t="s">
        <v>114</v>
      </c>
      <c r="R124" s="23" t="n">
        <v>46289</v>
      </c>
      <c r="S124" s="22"/>
      <c r="T124" s="24"/>
      <c r="U124" s="25"/>
      <c r="V124" s="25"/>
      <c r="W124" s="22"/>
      <c r="X124" s="24"/>
    </row>
    <row r="125" customFormat="false" ht="43.5" hidden="false" customHeight="true" outlineLevel="0" collapsed="false">
      <c r="A125" s="17" t="s">
        <v>1243</v>
      </c>
      <c r="B125" s="18" t="s">
        <v>74</v>
      </c>
      <c r="C125" s="34" t="n">
        <v>3</v>
      </c>
      <c r="D125" s="18" t="s">
        <v>76</v>
      </c>
      <c r="E125" s="17" t="str">
        <f aca="false">INDEX(Roster!$B$5:$B$14,MATCH($D125,Roster!$A$5:$A$14,0))</f>
        <v>Reader 10</v>
      </c>
      <c r="F125" s="20" t="s">
        <v>1244</v>
      </c>
      <c r="G125" s="17" t="s">
        <v>1245</v>
      </c>
      <c r="H125" s="20" t="s">
        <v>1246</v>
      </c>
      <c r="I125" s="18" t="n">
        <v>2024</v>
      </c>
      <c r="J125" s="17" t="s">
        <v>1247</v>
      </c>
      <c r="K125" s="20" t="s">
        <v>1248</v>
      </c>
      <c r="L125" s="17" t="s">
        <v>1249</v>
      </c>
      <c r="M125" s="21" t="s">
        <v>1250</v>
      </c>
      <c r="N125" s="18" t="s">
        <v>132</v>
      </c>
      <c r="O125" s="20" t="s">
        <v>1251</v>
      </c>
      <c r="P125" s="20" t="s">
        <v>1252</v>
      </c>
      <c r="Q125" s="22" t="s">
        <v>114</v>
      </c>
      <c r="R125" s="23" t="n">
        <v>46289</v>
      </c>
      <c r="S125" s="22"/>
      <c r="T125" s="24"/>
      <c r="U125" s="25"/>
      <c r="V125" s="25"/>
      <c r="W125" s="22"/>
      <c r="X125" s="24"/>
    </row>
    <row r="126" customFormat="false" ht="43.5" hidden="false" customHeight="true" outlineLevel="0" collapsed="false">
      <c r="A126" s="26" t="s">
        <v>1253</v>
      </c>
      <c r="B126" s="27" t="s">
        <v>74</v>
      </c>
      <c r="C126" s="33" t="n">
        <v>3</v>
      </c>
      <c r="D126" s="27" t="s">
        <v>72</v>
      </c>
      <c r="E126" s="26" t="str">
        <f aca="false">INDEX(Roster!$B$5:$B$14,MATCH($D126,Roster!$A$5:$A$14,0))</f>
        <v>Reader 09</v>
      </c>
      <c r="F126" s="29" t="s">
        <v>1254</v>
      </c>
      <c r="G126" s="26" t="s">
        <v>1255</v>
      </c>
      <c r="H126" s="29" t="s">
        <v>1256</v>
      </c>
      <c r="I126" s="27" t="n">
        <v>2026</v>
      </c>
      <c r="J126" s="26" t="s">
        <v>139</v>
      </c>
      <c r="K126" s="29" t="s">
        <v>1228</v>
      </c>
      <c r="L126" s="26" t="s">
        <v>1257</v>
      </c>
      <c r="M126" s="30" t="s">
        <v>1258</v>
      </c>
      <c r="N126" s="27" t="s">
        <v>132</v>
      </c>
      <c r="O126" s="29" t="s">
        <v>1259</v>
      </c>
      <c r="P126" s="29" t="s">
        <v>1260</v>
      </c>
      <c r="Q126" s="22" t="s">
        <v>114</v>
      </c>
      <c r="R126" s="23" t="n">
        <v>46289</v>
      </c>
      <c r="S126" s="22"/>
      <c r="T126" s="24"/>
      <c r="U126" s="25"/>
      <c r="V126" s="25"/>
      <c r="W126" s="22"/>
      <c r="X126" s="24"/>
    </row>
    <row r="127" customFormat="false" ht="43.5" hidden="false" customHeight="true" outlineLevel="0" collapsed="false">
      <c r="A127" s="17" t="s">
        <v>1261</v>
      </c>
      <c r="B127" s="18" t="s">
        <v>74</v>
      </c>
      <c r="C127" s="34" t="n">
        <v>3</v>
      </c>
      <c r="D127" s="18" t="s">
        <v>76</v>
      </c>
      <c r="E127" s="17" t="str">
        <f aca="false">INDEX(Roster!$B$5:$B$14,MATCH($D127,Roster!$A$5:$A$14,0))</f>
        <v>Reader 10</v>
      </c>
      <c r="F127" s="20" t="s">
        <v>1262</v>
      </c>
      <c r="G127" s="17" t="s">
        <v>1263</v>
      </c>
      <c r="H127" s="20" t="s">
        <v>1264</v>
      </c>
      <c r="I127" s="18" t="n">
        <v>2026</v>
      </c>
      <c r="J127" s="17" t="s">
        <v>1265</v>
      </c>
      <c r="K127" s="20" t="s">
        <v>108</v>
      </c>
      <c r="L127" s="17" t="s">
        <v>1266</v>
      </c>
      <c r="M127" s="21" t="s">
        <v>1267</v>
      </c>
      <c r="N127" s="18" t="s">
        <v>132</v>
      </c>
      <c r="O127" s="20" t="s">
        <v>1268</v>
      </c>
      <c r="P127" s="20" t="s">
        <v>1269</v>
      </c>
      <c r="Q127" s="22" t="s">
        <v>114</v>
      </c>
      <c r="R127" s="23" t="n">
        <v>46289</v>
      </c>
      <c r="S127" s="22"/>
      <c r="T127" s="24"/>
      <c r="U127" s="25"/>
      <c r="V127" s="25"/>
      <c r="W127" s="22"/>
      <c r="X127" s="24"/>
    </row>
  </sheetData>
  <autoFilter ref="A2:X127"/>
  <mergeCells count="1">
    <mergeCell ref="A1:X1"/>
  </mergeCells>
  <conditionalFormatting sqref="Q3:Q127">
    <cfRule type="cellIs" priority="2" operator="equal" aboveAverage="0" equalAverage="0" bottom="0" percent="0" rank="0" text="" dxfId="10">
      <formula>"Done"</formula>
    </cfRule>
    <cfRule type="cellIs" priority="3" operator="equal" aboveAverage="0" equalAverage="0" bottom="0" percent="0" rank="0" text="" dxfId="11">
      <formula>"Not started"</formula>
    </cfRule>
  </conditionalFormatting>
  <dataValidations count="3">
    <dataValidation allowBlank="false" errorStyle="stop" operator="between" showDropDown="false" showErrorMessage="false" showInputMessage="false" sqref="Q3:Q127" type="list">
      <formula1>"Not started,Reading,Notes drafted,Discussed,Done,Dropped"</formula1>
      <formula2>0</formula2>
    </dataValidation>
    <dataValidation allowBlank="true" errorStyle="stop" operator="between" showDropDown="false" showErrorMessage="false" showInputMessage="false" sqref="U3:U127" type="list">
      <formula1>"Yes,No,Maybe"</formula1>
      <formula2>0</formula2>
    </dataValidation>
    <dataValidation allowBlank="true" errorStyle="stop" operator="between" showDropDown="false" showErrorMessage="false" showInputMessage="false" sqref="V3:V127" type="list">
      <formula1>"Core cite,Background cite,No"</formula1>
      <formula2>0</formula2>
    </dataValidation>
  </dataValidations>
  <hyperlinks>
    <hyperlink ref="M3" r:id="rId1" display="https://arxiv.org/abs/2211.07216"/>
    <hyperlink ref="M4" r:id="rId2" display="https://arxiv.org/abs/2509.23130"/>
    <hyperlink ref="M5" r:id="rId3" display="https://arxiv.org/abs/2512.09758"/>
    <hyperlink ref="M6" r:id="rId4" display="https://arxiv.org/abs/2606.05792"/>
    <hyperlink ref="M7" r:id="rId5" display="https://arxiv.org/abs/2606.06133"/>
    <hyperlink ref="M8" r:id="rId6" display="https://arxiv.org/abs/2607.23425"/>
    <hyperlink ref="M9" r:id="rId7" display="https://arxiv.org/abs/2607.25333"/>
    <hyperlink ref="M10" r:id="rId8" display="https://link.springer.com/chapter/10.1007/3-540-48153-2_6"/>
    <hyperlink ref="M11" r:id="rId9" display="https://link.springer.com/article/10.1007/s100090100062"/>
    <hyperlink ref="M12" r:id="rId10" display="https://cacm.acm.org/research/how-amazon-web-services-uses-formal-methods/"/>
    <hyperlink ref="M13" r:id="rId11" display="https://dl.acm.org/doi/10.1145/3360549"/>
    <hyperlink ref="M14" r:id="rId12" display="https://arxiv.org/abs/2205.06360"/>
    <hyperlink ref="M15" r:id="rId13" display="https://arxiv.org/abs/2501.03073"/>
    <hyperlink ref="M16" r:id="rId14" display="https://arxiv.org/abs/2602.08384"/>
    <hyperlink ref="M17" r:id="rId15" display="https://arxiv.org/abs/2602.12058"/>
    <hyperlink ref="M18" r:id="rId16" display="https://arxiv.org/abs/2602.23389"/>
    <hyperlink ref="M19" r:id="rId17" display="https://arxiv.org/abs/2604.12172"/>
    <hyperlink ref="M20" r:id="rId18" display="https://lamport.azurewebsites.net/tla/book.html"/>
    <hyperlink ref="M21" r:id="rId19" display="https://arxiv.org/abs/2109.11987"/>
    <hyperlink ref="M22" r:id="rId20" display="https://arxiv.org/abs/2404.18048"/>
    <hyperlink ref="M23" r:id="rId21" display="https://arxiv.org/abs/2606.02019"/>
    <hyperlink ref="M24" r:id="rId22" display="https://arxiv.org/abs/2410.10135"/>
    <hyperlink ref="M25" r:id="rId23" display="https://arxiv.org/abs/2505.23135"/>
    <hyperlink ref="M26" r:id="rId24" display="https://arxiv.org/abs/2505.23486"/>
    <hyperlink ref="M27" r:id="rId25" display="https://arxiv.org/abs/2509.22908"/>
    <hyperlink ref="M28" r:id="rId26" display="https://arxiv.org/abs/2511.03108"/>
    <hyperlink ref="M29" r:id="rId27" display="https://arxiv.org/abs/2604.05820"/>
    <hyperlink ref="M30" r:id="rId28" display="https://arxiv.org/abs/2605.26457"/>
    <hyperlink ref="M31" r:id="rId29" display="https://arxiv.org/abs/2607.13303"/>
    <hyperlink ref="M32" r:id="rId30" display="https://arxiv.org/abs/2306.15626"/>
    <hyperlink ref="M33" r:id="rId31" display="https://arxiv.org/abs/2407.10040"/>
    <hyperlink ref="M34" r:id="rId32" display="https://arxiv.org/abs/2412.06512"/>
    <hyperlink ref="M35" r:id="rId33" display="https://arxiv.org/abs/2501.06283"/>
    <hyperlink ref="M36" r:id="rId34" display="https://arxiv.org/abs/2508.02733"/>
    <hyperlink ref="M37" r:id="rId35" display="https://arxiv.org/abs/2508.04440"/>
    <hyperlink ref="M38" r:id="rId36" display="https://arxiv.org/abs/2509.25197"/>
    <hyperlink ref="M39" r:id="rId37" display="https://arxiv.org/abs/2512.10173"/>
    <hyperlink ref="M40" r:id="rId38" display="https://arxiv.org/abs/2602.11481"/>
    <hyperlink ref="M41" r:id="rId39" display="https://arxiv.org/abs/2602.18307"/>
    <hyperlink ref="M42" r:id="rId40" display="https://arxiv.org/abs/2605.30914"/>
    <hyperlink ref="M43" r:id="rId41" display="https://arxiv.org/abs/2607.13292"/>
    <hyperlink ref="M44" r:id="rId42" display="https://arxiv.org/abs/2502.00963"/>
    <hyperlink ref="M45" r:id="rId43" display="https://arxiv.org/abs/2505.03171"/>
    <hyperlink ref="M46" r:id="rId44" display="https://arxiv.org/abs/2507.08665"/>
    <hyperlink ref="M47" r:id="rId45" display="https://arxiv.org/abs/2508.15878"/>
    <hyperlink ref="M48" r:id="rId46" display="https://arxiv.org/abs/2511.11816"/>
    <hyperlink ref="M49" r:id="rId47" display="https://arxiv.org/abs/2606.12594"/>
    <hyperlink ref="M50" r:id="rId48" display="https://arxiv.org/abs/2606.19315"/>
    <hyperlink ref="M51" r:id="rId49" display="https://arxiv.org/abs/2106.09685"/>
    <hyperlink ref="M52" r:id="rId50" display="https://arxiv.org/abs/2405.09673"/>
    <hyperlink ref="M53" r:id="rId51" display="https://arxiv.org/abs/2509.07430"/>
    <hyperlink ref="M54" r:id="rId52" display="https://arxiv.org/abs/2510.01631"/>
    <hyperlink ref="M55" r:id="rId53" display="https://arxiv.org/abs/2601.04823"/>
    <hyperlink ref="M56" r:id="rId54" display="https://arxiv.org/abs/2604.16027"/>
    <hyperlink ref="M57" r:id="rId55" display="https://arxiv.org/abs/2607.21978"/>
    <hyperlink ref="M58" r:id="rId56" display="https://arxiv.org/abs/2203.02155"/>
    <hyperlink ref="M59" r:id="rId57" display="https://arxiv.org/abs/2404.15159"/>
    <hyperlink ref="M60" r:id="rId58" display="https://arxiv.org/abs/2409.12993"/>
    <hyperlink ref="M61" r:id="rId59" display="https://arxiv.org/abs/2503.14023"/>
    <hyperlink ref="M62" r:id="rId60" display="https://arxiv.org/abs/2510.23208"/>
    <hyperlink ref="M63" r:id="rId61" display="https://arxiv.org/abs/2512.17720"/>
    <hyperlink ref="M64" r:id="rId62" display="https://arxiv.org/abs/2602.07464"/>
    <hyperlink ref="M65" r:id="rId63" display="https://arxiv.org/abs/2603.02224"/>
    <hyperlink ref="M66" r:id="rId64" display="https://arxiv.org/abs/2604.26340"/>
    <hyperlink ref="M67" r:id="rId65" display="https://arxiv.org/abs/2605.00365"/>
    <hyperlink ref="M68" r:id="rId66" display="https://arxiv.org/abs/2607.04733"/>
    <hyperlink ref="M69" r:id="rId67" display="https://arxiv.org/abs/2402.12220"/>
    <hyperlink ref="M70" r:id="rId68" display="https://arxiv.org/abs/2402.15415"/>
    <hyperlink ref="M71" r:id="rId69" display="https://arxiv.org/abs/2410.01720"/>
    <hyperlink ref="M72" r:id="rId70" display="https://arxiv.org/abs/2412.16216"/>
    <hyperlink ref="M73" r:id="rId71" display="https://arxiv.org/abs/2502.15828"/>
    <hyperlink ref="M74" r:id="rId72" display="https://arxiv.org/abs/2504.21190"/>
    <hyperlink ref="M75" r:id="rId73" display="https://arxiv.org/abs/2507.00029"/>
    <hyperlink ref="M76" r:id="rId74" display="https://arxiv.org/abs/2510.13003"/>
    <hyperlink ref="M77" r:id="rId75" display="https://arxiv.org/abs/2601.12401"/>
    <hyperlink ref="M78" r:id="rId76" display="https://arxiv.org/abs/2603.12577"/>
    <hyperlink ref="M79" r:id="rId77" display="https://arxiv.org/abs/2603.23562"/>
    <hyperlink ref="M80" r:id="rId78" display="https://arxiv.org/abs/2202.07646"/>
    <hyperlink ref="M81" r:id="rId79" display="https://arxiv.org/abs/2310.16789"/>
    <hyperlink ref="M82" r:id="rId80" display="https://arxiv.org/abs/2311.04850"/>
    <hyperlink ref="M83" r:id="rId81" display="https://arxiv.org/abs/2403.04811"/>
    <hyperlink ref="M84" r:id="rId82" display="https://arxiv.org/abs/2403.07974"/>
    <hyperlink ref="M85" r:id="rId83" display="https://arxiv.org/abs/2502.06215"/>
    <hyperlink ref="M86" r:id="rId84" display="https://arxiv.org/abs/2502.14425"/>
    <hyperlink ref="M87" r:id="rId85" display="https://arxiv.org/abs/2505.20411"/>
    <hyperlink ref="M88" r:id="rId86" display="https://arxiv.org/abs/2512.10218"/>
    <hyperlink ref="M89" r:id="rId87" display="https://arxiv.org/abs/2605.19999"/>
    <hyperlink ref="M90" r:id="rId88" display="https://arxiv.org/abs/2605.24079"/>
    <hyperlink ref="M91" r:id="rId89" display="https://arxiv.org/abs/2308.08493"/>
    <hyperlink ref="M92" r:id="rId90" display="https://arxiv.org/abs/2311.09783"/>
    <hyperlink ref="M93" r:id="rId91" display="https://arxiv.org/abs/2312.16337"/>
    <hyperlink ref="M94" r:id="rId92" display="https://arxiv.org/abs/2404.02936"/>
    <hyperlink ref="M95" r:id="rId93" display="https://arxiv.org/abs/2404.18824"/>
    <hyperlink ref="M96" r:id="rId94" display="https://arxiv.org/abs/2406.06443"/>
    <hyperlink ref="M97" r:id="rId95" display="https://arxiv.org/abs/2406.13990"/>
    <hyperlink ref="M98" r:id="rId96" display="https://arxiv.org/abs/2502.00678"/>
    <hyperlink ref="M99" r:id="rId97" display="https://arxiv.org/abs/2507.11059"/>
    <hyperlink ref="M100" r:id="rId98" display="https://arxiv.org/abs/2510.27055"/>
    <hyperlink ref="M101" r:id="rId99" display="https://arxiv.org/abs/2601.19334"/>
    <hyperlink ref="M102" r:id="rId100" display="https://arxiv.org/abs/2504.13416"/>
    <hyperlink ref="M103" r:id="rId101" display="https://arxiv.org/abs/2506.14474"/>
    <hyperlink ref="M104" r:id="rId102" display="https://arxiv.org/abs/2506.15271"/>
    <hyperlink ref="M105" r:id="rId103" display="https://arxiv.org/abs/2506.17208"/>
    <hyperlink ref="M106" r:id="rId104" display="https://arxiv.org/abs/2508.07054"/>
    <hyperlink ref="M107" r:id="rId105" display="https://arxiv.org/abs/2509.05449"/>
    <hyperlink ref="M108" r:id="rId106" display="https://arxiv.org/abs/2107.03374"/>
    <hyperlink ref="M109" r:id="rId107" display="https://arxiv.org/abs/2203.14465"/>
    <hyperlink ref="M110" r:id="rId108" display="https://arxiv.org/abs/2305.18290"/>
    <hyperlink ref="M111" r:id="rId109" display="https://arxiv.org/abs/2306.09896"/>
    <hyperlink ref="M112" r:id="rId110" display="https://arxiv.org/abs/2308.01825"/>
    <hyperlink ref="M113" r:id="rId111" display="https://arxiv.org/abs/2402.03300"/>
    <hyperlink ref="M114" r:id="rId112" display="https://arxiv.org/abs/2410.02089"/>
    <hyperlink ref="M115" r:id="rId113" display="https://arxiv.org/abs/2504.11343"/>
    <hyperlink ref="M116" r:id="rId114" display="https://arxiv.org/abs/2510.00915"/>
    <hyperlink ref="M117" r:id="rId115" display="https://arxiv.org/abs/2604.15149"/>
    <hyperlink ref="M118" r:id="rId116" display="https://arxiv.org/abs/2606.01066"/>
    <hyperlink ref="M119" r:id="rId117" display="https://arxiv.org/abs/2303.17651"/>
    <hyperlink ref="M120" r:id="rId118" display="https://arxiv.org/abs/2505.02931"/>
    <hyperlink ref="M121" r:id="rId119" display="https://arxiv.org/abs/2508.00083"/>
    <hyperlink ref="M122" r:id="rId120" display="https://arxiv.org/abs/2603.24202"/>
    <hyperlink ref="M123" r:id="rId121" display="https://arxiv.org/abs/2605.31058"/>
    <hyperlink ref="M124" r:id="rId122" display="https://arxiv.org/abs/2402.00658"/>
    <hyperlink ref="M125" r:id="rId123" display="https://arxiv.org/abs/2405.17057"/>
    <hyperlink ref="M126" r:id="rId124" display="https://arxiv.org/abs/2606.06260"/>
    <hyperlink ref="M127" r:id="rId125" display="https://arxiv.org/abs/2607.05810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26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false" outlineLevel="0" max="6" min="6" style="0" width="22"/>
    <col collapsed="false" customWidth="true" hidden="false" outlineLevel="0" max="7" min="7" style="0" width="72"/>
  </cols>
  <sheetData>
    <row r="1" customFormat="false" ht="17.35" hidden="false" customHeight="false" outlineLevel="0" collapsed="false">
      <c r="A1" s="6" t="s">
        <v>1270</v>
      </c>
    </row>
    <row r="3" customFormat="false" ht="27.75" hidden="false" customHeight="true" outlineLevel="0" collapsed="false">
      <c r="A3" s="8" t="s">
        <v>40</v>
      </c>
      <c r="B3" s="8" t="s">
        <v>1271</v>
      </c>
      <c r="C3" s="8" t="s">
        <v>1272</v>
      </c>
      <c r="D3" s="8" t="s">
        <v>42</v>
      </c>
      <c r="E3" s="8" t="s">
        <v>43</v>
      </c>
      <c r="F3" s="8" t="s">
        <v>1273</v>
      </c>
      <c r="G3" s="8" t="s">
        <v>1274</v>
      </c>
    </row>
    <row r="4" customFormat="false" ht="57.75" hidden="false" customHeight="true" outlineLevel="0" collapsed="false">
      <c r="A4" s="35" t="s">
        <v>50</v>
      </c>
      <c r="B4" s="36" t="s">
        <v>51</v>
      </c>
      <c r="C4" s="37" t="s">
        <v>1275</v>
      </c>
      <c r="D4" s="35" t="n">
        <f aca="false">COUNTIF(Papers!$B:$B,$A4)</f>
        <v>21</v>
      </c>
      <c r="E4" s="35" t="n">
        <f aca="false">COUNTIFS(Papers!$B:$B,$A4,Papers!$C:$C,1)</f>
        <v>7</v>
      </c>
      <c r="F4" s="37" t="s">
        <v>1276</v>
      </c>
      <c r="G4" s="36" t="s">
        <v>1277</v>
      </c>
    </row>
    <row r="5" customFormat="false" ht="57.75" hidden="false" customHeight="true" outlineLevel="0" collapsed="false">
      <c r="A5" s="35" t="s">
        <v>56</v>
      </c>
      <c r="B5" s="36" t="s">
        <v>57</v>
      </c>
      <c r="C5" s="37" t="s">
        <v>1278</v>
      </c>
      <c r="D5" s="35" t="n">
        <f aca="false">COUNTIF(Papers!$B:$B,$A5)</f>
        <v>27</v>
      </c>
      <c r="E5" s="35" t="n">
        <f aca="false">COUNTIFS(Papers!$B:$B,$A5,Papers!$C:$C,1)</f>
        <v>8</v>
      </c>
      <c r="F5" s="37" t="s">
        <v>1279</v>
      </c>
      <c r="G5" s="36" t="s">
        <v>1280</v>
      </c>
    </row>
    <row r="6" customFormat="false" ht="57.75" hidden="false" customHeight="true" outlineLevel="0" collapsed="false">
      <c r="A6" s="35" t="s">
        <v>62</v>
      </c>
      <c r="B6" s="36" t="s">
        <v>63</v>
      </c>
      <c r="C6" s="37" t="s">
        <v>1281</v>
      </c>
      <c r="D6" s="35" t="n">
        <f aca="false">COUNTIF(Papers!$B:$B,$A6)</f>
        <v>29</v>
      </c>
      <c r="E6" s="35" t="n">
        <f aca="false">COUNTIFS(Papers!$B:$B,$A6,Papers!$C:$C,1)</f>
        <v>7</v>
      </c>
      <c r="F6" s="37" t="s">
        <v>1282</v>
      </c>
      <c r="G6" s="36" t="s">
        <v>1283</v>
      </c>
    </row>
    <row r="7" customFormat="false" ht="57.75" hidden="false" customHeight="true" outlineLevel="0" collapsed="false">
      <c r="A7" s="35" t="s">
        <v>68</v>
      </c>
      <c r="B7" s="36" t="s">
        <v>69</v>
      </c>
      <c r="C7" s="37" t="s">
        <v>1284</v>
      </c>
      <c r="D7" s="35" t="n">
        <f aca="false">COUNTIF(Papers!$B:$B,$A7)</f>
        <v>28</v>
      </c>
      <c r="E7" s="35" t="n">
        <f aca="false">COUNTIFS(Papers!$B:$B,$A7,Papers!$C:$C,1)</f>
        <v>11</v>
      </c>
      <c r="F7" s="37" t="s">
        <v>1285</v>
      </c>
      <c r="G7" s="36" t="s">
        <v>1286</v>
      </c>
    </row>
    <row r="8" customFormat="false" ht="57.75" hidden="false" customHeight="true" outlineLevel="0" collapsed="false">
      <c r="A8" s="35" t="s">
        <v>74</v>
      </c>
      <c r="B8" s="36" t="s">
        <v>75</v>
      </c>
      <c r="C8" s="37" t="s">
        <v>1287</v>
      </c>
      <c r="D8" s="35" t="n">
        <f aca="false">COUNTIF(Papers!$B:$B,$A8)</f>
        <v>20</v>
      </c>
      <c r="E8" s="35" t="n">
        <f aca="false">COUNTIFS(Papers!$B:$B,$A8,Papers!$C:$C,1)</f>
        <v>11</v>
      </c>
      <c r="F8" s="37" t="s">
        <v>1288</v>
      </c>
      <c r="G8" s="36" t="s">
        <v>1289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LibreOffice/25.8.2.2$MacOSX_AARCH64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2026-07-30T23:50:16Z</dcterms:created>
  <dc:creator>openpyxl</dc:creator>
  <dc:description/>
  <dc:language>en-US</dc:language>
  <cp:lastModifiedBy/>
  <dcterms:modified xsi:type="dcterms:W3CDTF">2026-07-30T23:50:16Z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